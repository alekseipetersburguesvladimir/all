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ebextensions/webextension1.xml" ContentType="application/vnd.ms-office.webextension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3.xml" ContentType="application/vnd.openxmlformats-officedocument.spreadsheetml.table+xml"/>
  <Override PartName="/xl/slicers/slicer2.xml" ContentType="application/vnd.ms-excel.slicer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tables/table4.xml" ContentType="application/vnd.openxmlformats-officedocument.spreadsheetml.table+xml"/>
  <Override PartName="/xl/webextensions/webextension2.xml" ContentType="application/vnd.ms-office.webextension+xml"/>
  <Override PartName="/xl/drawings/drawing5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5e65015602258f/Desktop/Archivo/"/>
    </mc:Choice>
  </mc:AlternateContent>
  <xr:revisionPtr revIDLastSave="151" documentId="13_ncr:1_{6553A945-A8F0-481C-B094-D1E3E19CD8AB}" xr6:coauthVersionLast="47" xr6:coauthVersionMax="47" xr10:uidLastSave="{F0A481C4-45D4-4D10-BF9C-6AB8F2C49053}"/>
  <bookViews>
    <workbookView xWindow="-120" yWindow="-120" windowWidth="29040" windowHeight="15720" xr2:uid="{48B1B934-09B5-4203-B60F-97B981419AD0}"/>
  </bookViews>
  <sheets>
    <sheet name="DashBoard_General" sheetId="1" r:id="rId1"/>
    <sheet name="Presupuesto" sheetId="5" r:id="rId2"/>
    <sheet name="Ingresos_Gastos" sheetId="2" r:id="rId3"/>
    <sheet name="Ahorro" sheetId="4" r:id="rId4"/>
    <sheet name="Configuracion" sheetId="7" r:id="rId5"/>
  </sheets>
  <definedNames>
    <definedName name="_xlnm.Print_Area" localSheetId="0">DashBoard_General!$A$1:$S$59</definedName>
    <definedName name="_xlnm.Print_Area" localSheetId="2">Ingresos_Gastos!$I$8:$T$77</definedName>
    <definedName name="_xlnm.Print_Area" localSheetId="1">Presupuesto!$A$1:$R$52</definedName>
    <definedName name="Categoria_Gastos">Configuracion!$J$4:$J$15</definedName>
    <definedName name="Categoria_ingresos">Configuracion!$H$8:$H$17</definedName>
    <definedName name="Categoriasingresos">Configuracion!$H$8:$H$17</definedName>
    <definedName name="Est_Gt">Configuracion!#REF!</definedName>
    <definedName name="Est_Ing">Configuracion!#REF!</definedName>
    <definedName name="PROYECTOS">Configuracion!$L$8:$L$11</definedName>
    <definedName name="SegmentaciónDeDatos_AÑO">#N/A</definedName>
    <definedName name="SegmentaciónDeDatos_AÑO1">#N/A</definedName>
    <definedName name="SegmentaciónDeDatos_AÑO2">#N/A</definedName>
    <definedName name="SegmentaciónDeDatos_AÑO3">#N/A</definedName>
    <definedName name="SegmentaciónDeDatos_AÑO4">#N/A</definedName>
    <definedName name="SegmentaciónDeDatos_MES">#N/A</definedName>
    <definedName name="SegmentaciónDeDatos_MES1">#N/A</definedName>
    <definedName name="SegmentaciónDeDatos_MES2">#N/A</definedName>
    <definedName name="SegmentaciónDeDatos_MES3">#N/A</definedName>
    <definedName name="SegmentaciónDeDatos_MES4">#N/A</definedName>
    <definedName name="Tipos">Configuracion!$L$4:$L$5</definedName>
    <definedName name="UBICACIONES">Configuracion!$L$14:$L$17</definedName>
  </definedNames>
  <calcPr calcId="191029"/>
  <pivotCaches>
    <pivotCache cacheId="6" r:id="rId6"/>
    <pivotCache cacheId="10" r:id="rId7"/>
    <pivotCache cacheId="17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4" i="4" l="1"/>
  <c r="K14" i="4"/>
  <c r="H14" i="4"/>
  <c r="E14" i="4"/>
  <c r="N15" i="4"/>
  <c r="K15" i="4"/>
  <c r="H15" i="4"/>
  <c r="N11" i="4"/>
  <c r="K11" i="4"/>
  <c r="H11" i="4"/>
  <c r="E11" i="4"/>
  <c r="Q9" i="4"/>
  <c r="E15" i="4"/>
  <c r="E8" i="4"/>
  <c r="D8" i="4"/>
  <c r="D93" i="1"/>
  <c r="E93" i="1"/>
  <c r="F93" i="1"/>
  <c r="G93" i="1"/>
  <c r="H93" i="1"/>
  <c r="I93" i="1"/>
  <c r="J93" i="1"/>
  <c r="K93" i="1"/>
  <c r="L93" i="1"/>
  <c r="M93" i="1"/>
  <c r="N93" i="1"/>
  <c r="O93" i="1"/>
  <c r="M69" i="1"/>
  <c r="D49" i="5"/>
  <c r="H23" i="5"/>
  <c r="C17" i="5" s="1"/>
  <c r="E69" i="1"/>
  <c r="F69" i="1"/>
  <c r="G69" i="1"/>
  <c r="H69" i="1"/>
  <c r="I69" i="1"/>
  <c r="J69" i="1"/>
  <c r="K69" i="1"/>
  <c r="L69" i="1"/>
  <c r="N69" i="1"/>
  <c r="O69" i="1"/>
  <c r="D69" i="1"/>
  <c r="B30" i="5"/>
  <c r="C30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I16" i="5"/>
  <c r="I17" i="5"/>
  <c r="I18" i="5"/>
  <c r="I19" i="5"/>
  <c r="I20" i="5"/>
  <c r="I21" i="5"/>
  <c r="I22" i="5"/>
  <c r="O23" i="5"/>
  <c r="C18" i="5" s="1"/>
  <c r="I9" i="5"/>
  <c r="I10" i="5"/>
  <c r="I11" i="5"/>
  <c r="I12" i="5"/>
  <c r="I13" i="5"/>
  <c r="I14" i="5"/>
  <c r="I15" i="5"/>
  <c r="C31" i="5"/>
  <c r="F3" i="7"/>
  <c r="R1" i="2"/>
  <c r="C2" i="1"/>
  <c r="C3" i="1"/>
  <c r="C4" i="1"/>
  <c r="D7" i="4" l="1"/>
  <c r="O7" i="4"/>
  <c r="N7" i="4"/>
  <c r="M7" i="4"/>
  <c r="L7" i="4"/>
  <c r="I7" i="4"/>
  <c r="J7" i="4"/>
  <c r="K7" i="4"/>
  <c r="H7" i="4"/>
  <c r="G7" i="4"/>
  <c r="F7" i="4"/>
  <c r="E7" i="4"/>
  <c r="P93" i="1"/>
  <c r="P69" i="1"/>
  <c r="C28" i="5"/>
  <c r="C22" i="5"/>
  <c r="C23" i="5"/>
  <c r="C27" i="5"/>
  <c r="C19" i="5"/>
  <c r="C33" i="5"/>
  <c r="C32" i="5"/>
  <c r="F6" i="1"/>
  <c r="E94" i="1" s="1"/>
  <c r="E95" i="1" s="1"/>
  <c r="O6" i="1"/>
  <c r="N94" i="1" s="1"/>
  <c r="N95" i="1" s="1"/>
  <c r="P6" i="1"/>
  <c r="O94" i="1" s="1"/>
  <c r="O95" i="1" s="1"/>
  <c r="L6" i="1"/>
  <c r="K94" i="1" s="1"/>
  <c r="K95" i="1" s="1"/>
  <c r="M6" i="1"/>
  <c r="L94" i="1" s="1"/>
  <c r="L95" i="1" s="1"/>
  <c r="N6" i="1"/>
  <c r="M94" i="1" s="1"/>
  <c r="M95" i="1" s="1"/>
  <c r="J6" i="1"/>
  <c r="I94" i="1" s="1"/>
  <c r="I95" i="1" s="1"/>
  <c r="K6" i="1"/>
  <c r="J94" i="1" s="1"/>
  <c r="J95" i="1" s="1"/>
  <c r="H6" i="1"/>
  <c r="G94" i="1" s="1"/>
  <c r="G95" i="1" s="1"/>
  <c r="I6" i="1"/>
  <c r="H94" i="1" s="1"/>
  <c r="H95" i="1" s="1"/>
  <c r="P5" i="1"/>
  <c r="O70" i="1" s="1"/>
  <c r="O71" i="1" s="1"/>
  <c r="G6" i="1"/>
  <c r="F94" i="1" s="1"/>
  <c r="F95" i="1" s="1"/>
  <c r="L5" i="1"/>
  <c r="K70" i="1" s="1"/>
  <c r="K71" i="1" s="1"/>
  <c r="M5" i="1"/>
  <c r="L70" i="1" s="1"/>
  <c r="L71" i="1" s="1"/>
  <c r="N5" i="1"/>
  <c r="M70" i="1" s="1"/>
  <c r="M71" i="1" s="1"/>
  <c r="O5" i="1"/>
  <c r="N70" i="1" s="1"/>
  <c r="N71" i="1" s="1"/>
  <c r="K5" i="1"/>
  <c r="J70" i="1" s="1"/>
  <c r="J71" i="1" s="1"/>
  <c r="I5" i="1"/>
  <c r="H70" i="1" s="1"/>
  <c r="H71" i="1" s="1"/>
  <c r="J5" i="1"/>
  <c r="I70" i="1" s="1"/>
  <c r="I71" i="1" s="1"/>
  <c r="H5" i="1"/>
  <c r="G70" i="1" s="1"/>
  <c r="G71" i="1" s="1"/>
  <c r="G5" i="1"/>
  <c r="F70" i="1" s="1"/>
  <c r="F71" i="1" s="1"/>
  <c r="E6" i="1"/>
  <c r="D94" i="1" s="1"/>
  <c r="D95" i="1" s="1"/>
  <c r="F5" i="1"/>
  <c r="E70" i="1" s="1"/>
  <c r="E71" i="1" s="1"/>
  <c r="E5" i="1"/>
  <c r="D70" i="1" s="1"/>
  <c r="D71" i="1" s="1"/>
  <c r="C5" i="1"/>
  <c r="C6" i="1"/>
  <c r="Q6" i="4" l="1"/>
  <c r="Q12" i="4" s="1"/>
  <c r="P94" i="1"/>
  <c r="P95" i="1"/>
  <c r="P71" i="1"/>
  <c r="P70" i="1"/>
  <c r="C29" i="5"/>
  <c r="C24" i="5"/>
  <c r="C34" i="5"/>
  <c r="F7" i="1"/>
  <c r="P7" i="1"/>
  <c r="G7" i="1"/>
  <c r="H7" i="1"/>
  <c r="J7" i="1"/>
  <c r="I7" i="1"/>
  <c r="O7" i="1"/>
  <c r="N7" i="1"/>
  <c r="M7" i="1"/>
  <c r="L7" i="1"/>
  <c r="K7" i="1"/>
  <c r="E7" i="1"/>
  <c r="C7" i="1"/>
</calcChain>
</file>

<file path=xl/sharedStrings.xml><?xml version="1.0" encoding="utf-8"?>
<sst xmlns="http://schemas.openxmlformats.org/spreadsheetml/2006/main" count="304" uniqueCount="102">
  <si>
    <t>Fecha</t>
  </si>
  <si>
    <t>Categoria</t>
  </si>
  <si>
    <t>Descripcion</t>
  </si>
  <si>
    <t>Monto</t>
  </si>
  <si>
    <t>Estado</t>
  </si>
  <si>
    <t>Salario</t>
  </si>
  <si>
    <t>Tipo</t>
  </si>
  <si>
    <t>Ingreso</t>
  </si>
  <si>
    <t>Gasto</t>
  </si>
  <si>
    <t>Renta</t>
  </si>
  <si>
    <t>Prestamos</t>
  </si>
  <si>
    <t>Empty_1</t>
  </si>
  <si>
    <t>Empty_2</t>
  </si>
  <si>
    <t>Empty_3</t>
  </si>
  <si>
    <t>Empty_4</t>
  </si>
  <si>
    <t>Empty_5</t>
  </si>
  <si>
    <t>Arriendo</t>
  </si>
  <si>
    <t>Servicios</t>
  </si>
  <si>
    <t>Impuestos</t>
  </si>
  <si>
    <t>Alimentacion</t>
  </si>
  <si>
    <t>Otros</t>
  </si>
  <si>
    <t>Transporte</t>
  </si>
  <si>
    <t>Entretenimiento</t>
  </si>
  <si>
    <t>Etiquetas de fila</t>
  </si>
  <si>
    <t>Total general</t>
  </si>
  <si>
    <t>Suma de Monto</t>
  </si>
  <si>
    <t>Ventas</t>
  </si>
  <si>
    <t>INGRESOS</t>
  </si>
  <si>
    <t>GASTOS</t>
  </si>
  <si>
    <t>TOTAL</t>
  </si>
  <si>
    <t>MES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</si>
  <si>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</si>
  <si>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</si>
  <si>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</si>
  <si>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</si>
  <si>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</si>
  <si>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</si>
  <si>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</si>
  <si>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</si>
  <si>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</si>
  <si>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</si>
  <si>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</si>
  <si>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</si>
  <si>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MOVIMIENTOS MES ACTUAL</t>
  </si>
  <si>
    <t>CONSOLIDADO ANUAL</t>
  </si>
  <si>
    <t>AÑO OPERATIVO</t>
  </si>
  <si>
    <t>AÑO</t>
  </si>
  <si>
    <t>INGRESO</t>
  </si>
  <si>
    <t>GASTO</t>
  </si>
  <si>
    <t>Movimiento</t>
  </si>
  <si>
    <t xml:space="preserve"> </t>
  </si>
  <si>
    <t xml:space="preserve">Categoria </t>
  </si>
  <si>
    <t>Total</t>
  </si>
  <si>
    <t>TITULAR DEL APLICATIVO</t>
  </si>
  <si>
    <t>Ahorro</t>
  </si>
  <si>
    <t>GASTOS FIJOS</t>
  </si>
  <si>
    <t>Fecha Esperada</t>
  </si>
  <si>
    <t>INGRESOS FIJOS</t>
  </si>
  <si>
    <t>PRESUPUESTO</t>
  </si>
  <si>
    <t>PRESUPUESTO MENSUAL</t>
  </si>
  <si>
    <t>EJECUTADO</t>
  </si>
  <si>
    <t>PENDIENTE POR EJECUTAR</t>
  </si>
  <si>
    <t>REGISTRO ACTUAL</t>
  </si>
  <si>
    <t>TIPOS DE INGRESOS</t>
  </si>
  <si>
    <t>TIPO DE OPERACION</t>
  </si>
  <si>
    <t>TIPOS DE GASTOS</t>
  </si>
  <si>
    <t>PRESUPUESTO ANUAL</t>
  </si>
  <si>
    <t>INGRESOS REALES</t>
  </si>
  <si>
    <t>INGRESOS PRESUPUESTO</t>
  </si>
  <si>
    <t>DIFERENCIA</t>
  </si>
  <si>
    <t/>
  </si>
  <si>
    <t>PRESUPUESTO ANUAL (INGRESOS)</t>
  </si>
  <si>
    <t>PRESUPUESTO ANUAL (GASTOS)</t>
  </si>
  <si>
    <t>GASTOS PRESUPUESTO</t>
  </si>
  <si>
    <t>GASTOS REALES</t>
  </si>
  <si>
    <t>REGISTRO DE AHORRO MENSUAL</t>
  </si>
  <si>
    <t>PROYECTO 1</t>
  </si>
  <si>
    <t>OBJETIVO 1</t>
  </si>
  <si>
    <t>RECAUDADO</t>
  </si>
  <si>
    <t>ESTADO</t>
  </si>
  <si>
    <t>VALOR TOTAL</t>
  </si>
  <si>
    <t>OBJETIVO 2</t>
  </si>
  <si>
    <t>OBJETIVO 3</t>
  </si>
  <si>
    <t>OBJETIVO 4</t>
  </si>
  <si>
    <t>DINERO ASIGNADO</t>
  </si>
  <si>
    <t>TOTAL AHORRADO</t>
  </si>
  <si>
    <t>Fecha de asignacion</t>
  </si>
  <si>
    <t>X ASIGNAR</t>
  </si>
  <si>
    <t>Ubicación</t>
  </si>
  <si>
    <t>FALTANTE</t>
  </si>
  <si>
    <t>TIPO DE PROYECTO</t>
  </si>
  <si>
    <t>PROYECTO 2</t>
  </si>
  <si>
    <t>PROYECTO 3</t>
  </si>
  <si>
    <t>PROYECTO 4</t>
  </si>
  <si>
    <t>UBICACIÓN DE AHORRO</t>
  </si>
  <si>
    <t>Cuenta de Ahorro</t>
  </si>
  <si>
    <t>Cuenta Nequi</t>
  </si>
  <si>
    <t>Ahorro en Casa</t>
  </si>
  <si>
    <t>Proyecto</t>
  </si>
  <si>
    <t>(Varios elementos)</t>
  </si>
  <si>
    <t>(en blanco)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</si>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</sst>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4" formatCode="_-&quot;$&quot;\ * #,##0.00_-;\-&quot;$&quot;\ * #,##0.00_-;_-&quot;$&quot;\ * &quot;-&quot;??_-;_-@_-"/>
    <numFmt numFmtId="164" formatCode="_(* #,##0_);_(* \(#,##0\);_(* &quot;-&quot;_);_(@_)"/>
    <numFmt numFmtId="165" formatCode="_(* #,##0.00_);_(* \(#,##0.00\);_(* &quot;-&quot;??_);_(@_)"/>
    <numFmt numFmtId="166" formatCode="_-* #,##0_-;\-* #,##0_-;_-* &quot;-&quot;??_-;_-@_-"/>
    <numFmt numFmtId="167" formatCode="_(* #,##0_);_(* \(#,##0\);_(* &quot;-&quot;??_);_(@_)"/>
    <numFmt numFmtId="168" formatCode="&quot;$&quot;\ #,##0"/>
    <numFmt numFmtId="169" formatCode="&quot;$&quot;#,##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6"/>
      <color theme="1"/>
      <name val="Centaur"/>
      <family val="1"/>
    </font>
    <font>
      <sz val="18"/>
      <color theme="1"/>
      <name val="Centaur"/>
      <family val="1"/>
    </font>
    <font>
      <b/>
      <sz val="14"/>
      <color theme="0"/>
      <name val="Calibri"/>
      <family val="2"/>
      <scheme val="minor"/>
    </font>
    <font>
      <sz val="12"/>
      <color theme="1"/>
      <name val="Centaur"/>
      <family val="1"/>
    </font>
    <font>
      <sz val="14"/>
      <color theme="0"/>
      <name val="Centaur"/>
      <family val="1"/>
    </font>
    <font>
      <u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0">
    <xf numFmtId="0" fontId="0" fillId="0" borderId="0" xfId="0"/>
    <xf numFmtId="0" fontId="2" fillId="3" borderId="0" xfId="0" applyFont="1" applyFill="1"/>
    <xf numFmtId="0" fontId="2" fillId="4" borderId="0" xfId="0" applyFont="1" applyFill="1"/>
    <xf numFmtId="0" fontId="0" fillId="4" borderId="0" xfId="0" applyFill="1"/>
    <xf numFmtId="0" fontId="0" fillId="3" borderId="0" xfId="0" applyFill="1" applyProtection="1">
      <protection locked="0"/>
    </xf>
    <xf numFmtId="0" fontId="3" fillId="5" borderId="0" xfId="0" applyFont="1" applyFill="1" applyAlignment="1" applyProtection="1">
      <alignment horizontal="center" vertical="center"/>
      <protection locked="0"/>
    </xf>
    <xf numFmtId="0" fontId="2" fillId="3" borderId="0" xfId="1" applyNumberFormat="1" applyFont="1" applyFill="1" applyProtection="1">
      <protection locked="0"/>
    </xf>
    <xf numFmtId="0" fontId="2" fillId="3" borderId="0" xfId="0" applyFont="1" applyFill="1" applyProtection="1">
      <protection locked="0"/>
    </xf>
    <xf numFmtId="166" fontId="0" fillId="3" borderId="1" xfId="1" applyNumberFormat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Protection="1">
      <protection locked="0"/>
    </xf>
    <xf numFmtId="166" fontId="0" fillId="3" borderId="1" xfId="1" applyNumberFormat="1" applyFont="1" applyFill="1" applyBorder="1" applyProtection="1">
      <protection locked="0"/>
    </xf>
    <xf numFmtId="166" fontId="0" fillId="3" borderId="1" xfId="1" applyNumberFormat="1" applyFont="1" applyFill="1" applyBorder="1" applyAlignment="1" applyProtection="1">
      <alignment horizontal="center"/>
      <protection locked="0"/>
    </xf>
    <xf numFmtId="166" fontId="0" fillId="3" borderId="1" xfId="0" applyNumberFormat="1" applyFill="1" applyBorder="1" applyProtection="1">
      <protection locked="0"/>
    </xf>
    <xf numFmtId="0" fontId="7" fillId="3" borderId="0" xfId="0" applyFont="1" applyFill="1" applyProtection="1">
      <protection locked="0"/>
    </xf>
    <xf numFmtId="0" fontId="2" fillId="3" borderId="0" xfId="0" applyFont="1" applyFill="1" applyProtection="1">
      <protection locked="0" hidden="1"/>
    </xf>
    <xf numFmtId="0" fontId="0" fillId="6" borderId="0" xfId="0" applyFill="1" applyProtection="1">
      <protection locked="0"/>
    </xf>
    <xf numFmtId="0" fontId="7" fillId="3" borderId="0" xfId="0" applyFont="1" applyFill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1" xfId="0" applyFont="1" applyFill="1" applyBorder="1"/>
    <xf numFmtId="0" fontId="0" fillId="3" borderId="0" xfId="0" applyFill="1"/>
    <xf numFmtId="0" fontId="0" fillId="3" borderId="1" xfId="0" applyFill="1" applyBorder="1"/>
    <xf numFmtId="0" fontId="2" fillId="5" borderId="0" xfId="0" applyFont="1" applyFill="1" applyAlignment="1" applyProtection="1">
      <alignment horizontal="center" vertical="center"/>
      <protection locked="0"/>
    </xf>
    <xf numFmtId="14" fontId="11" fillId="3" borderId="0" xfId="0" applyNumberFormat="1" applyFont="1" applyFill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16" fontId="0" fillId="3" borderId="1" xfId="0" applyNumberFormat="1" applyFill="1" applyBorder="1"/>
    <xf numFmtId="167" fontId="0" fillId="3" borderId="1" xfId="1" applyNumberFormat="1" applyFont="1" applyFill="1" applyBorder="1"/>
    <xf numFmtId="0" fontId="0" fillId="3" borderId="9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5" xfId="0" applyFill="1" applyBorder="1"/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/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67" fontId="0" fillId="3" borderId="1" xfId="0" applyNumberFormat="1" applyFill="1" applyBorder="1"/>
    <xf numFmtId="14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/>
      <protection locked="0"/>
    </xf>
    <xf numFmtId="14" fontId="8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center"/>
      <protection locked="0"/>
    </xf>
    <xf numFmtId="41" fontId="0" fillId="0" borderId="0" xfId="1" applyNumberFormat="1" applyFont="1" applyBorder="1"/>
    <xf numFmtId="0" fontId="2" fillId="7" borderId="0" xfId="0" applyFont="1" applyFill="1" applyAlignment="1" applyProtection="1">
      <alignment horizontal="center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41" fontId="3" fillId="5" borderId="3" xfId="1" applyNumberFormat="1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14" fontId="0" fillId="3" borderId="1" xfId="0" applyNumberFormat="1" applyFill="1" applyBorder="1"/>
    <xf numFmtId="14" fontId="0" fillId="3" borderId="8" xfId="0" applyNumberFormat="1" applyFill="1" applyBorder="1"/>
    <xf numFmtId="14" fontId="0" fillId="3" borderId="0" xfId="0" applyNumberFormat="1" applyFill="1"/>
    <xf numFmtId="0" fontId="0" fillId="3" borderId="0" xfId="0" applyFill="1" applyAlignment="1" applyProtection="1">
      <alignment horizontal="center"/>
      <protection locked="0"/>
    </xf>
    <xf numFmtId="166" fontId="0" fillId="3" borderId="0" xfId="1" applyNumberFormat="1" applyFont="1" applyFill="1" applyBorder="1" applyProtection="1">
      <protection locked="0"/>
    </xf>
    <xf numFmtId="166" fontId="0" fillId="3" borderId="0" xfId="1" applyNumberFormat="1" applyFont="1" applyFill="1" applyBorder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 vertical="center"/>
      <protection locked="0"/>
    </xf>
    <xf numFmtId="165" fontId="0" fillId="3" borderId="1" xfId="1" applyFont="1" applyFill="1" applyBorder="1" applyProtection="1">
      <protection locked="0"/>
    </xf>
    <xf numFmtId="167" fontId="0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 vertical="center"/>
    </xf>
    <xf numFmtId="167" fontId="7" fillId="3" borderId="8" xfId="1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/>
    <xf numFmtId="0" fontId="2" fillId="3" borderId="0" xfId="0" applyFont="1" applyFill="1" applyAlignment="1">
      <alignment horizontal="left"/>
    </xf>
    <xf numFmtId="168" fontId="2" fillId="3" borderId="0" xfId="0" applyNumberFormat="1" applyFont="1" applyFill="1"/>
    <xf numFmtId="167" fontId="7" fillId="3" borderId="1" xfId="1" applyNumberFormat="1" applyFont="1" applyFill="1" applyBorder="1" applyAlignment="1">
      <alignment horizontal="right"/>
    </xf>
    <xf numFmtId="169" fontId="7" fillId="3" borderId="1" xfId="1" applyNumberFormat="1" applyFont="1" applyFill="1" applyBorder="1" applyAlignment="1">
      <alignment horizontal="right"/>
    </xf>
    <xf numFmtId="169" fontId="0" fillId="3" borderId="1" xfId="1" applyNumberFormat="1" applyFont="1" applyFill="1" applyBorder="1" applyAlignment="1">
      <alignment horizontal="right"/>
    </xf>
    <xf numFmtId="16" fontId="0" fillId="3" borderId="0" xfId="0" applyNumberFormat="1" applyFill="1"/>
    <xf numFmtId="10" fontId="0" fillId="3" borderId="0" xfId="3" applyNumberFormat="1" applyFont="1" applyFill="1" applyBorder="1"/>
    <xf numFmtId="0" fontId="2" fillId="8" borderId="1" xfId="0" applyFont="1" applyFill="1" applyBorder="1"/>
    <xf numFmtId="0" fontId="2" fillId="8" borderId="7" xfId="0" applyFont="1" applyFill="1" applyBorder="1"/>
    <xf numFmtId="0" fontId="2" fillId="5" borderId="1" xfId="0" applyFont="1" applyFill="1" applyBorder="1" applyAlignment="1">
      <alignment horizontal="center"/>
    </xf>
    <xf numFmtId="169" fontId="0" fillId="3" borderId="1" xfId="0" applyNumberFormat="1" applyFill="1" applyBorder="1" applyAlignment="1">
      <alignment horizontal="center"/>
    </xf>
    <xf numFmtId="168" fontId="0" fillId="3" borderId="1" xfId="2" applyNumberFormat="1" applyFont="1" applyFill="1" applyBorder="1" applyAlignment="1">
      <alignment horizontal="center"/>
    </xf>
    <xf numFmtId="9" fontId="7" fillId="0" borderId="0" xfId="3" applyFont="1" applyFill="1" applyBorder="1" applyAlignment="1"/>
    <xf numFmtId="16" fontId="2" fillId="5" borderId="2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10" fontId="2" fillId="5" borderId="3" xfId="3" applyNumberFormat="1" applyFont="1" applyFill="1" applyBorder="1" applyAlignment="1">
      <alignment horizontal="center"/>
    </xf>
    <xf numFmtId="16" fontId="7" fillId="3" borderId="10" xfId="0" applyNumberFormat="1" applyFont="1" applyFill="1" applyBorder="1" applyAlignment="1">
      <alignment horizontal="center"/>
    </xf>
    <xf numFmtId="167" fontId="7" fillId="3" borderId="8" xfId="1" applyNumberFormat="1" applyFont="1" applyFill="1" applyBorder="1" applyAlignment="1">
      <alignment horizontal="center"/>
    </xf>
    <xf numFmtId="0" fontId="7" fillId="3" borderId="8" xfId="3" applyNumberFormat="1" applyFont="1" applyFill="1" applyBorder="1" applyAlignment="1">
      <alignment horizontal="center"/>
    </xf>
    <xf numFmtId="10" fontId="7" fillId="3" borderId="5" xfId="3" applyNumberFormat="1" applyFont="1" applyFill="1" applyBorder="1" applyAlignment="1">
      <alignment horizontal="center"/>
    </xf>
    <xf numFmtId="44" fontId="0" fillId="3" borderId="1" xfId="2" applyFont="1" applyFill="1" applyBorder="1"/>
    <xf numFmtId="0" fontId="0" fillId="0" borderId="11" xfId="0" pivotButton="1" applyBorder="1"/>
    <xf numFmtId="0" fontId="0" fillId="0" borderId="12" xfId="0" applyBorder="1"/>
    <xf numFmtId="0" fontId="0" fillId="0" borderId="13" xfId="0" applyBorder="1" applyAlignment="1">
      <alignment horizontal="left"/>
    </xf>
    <xf numFmtId="0" fontId="0" fillId="0" borderId="14" xfId="0" applyBorder="1"/>
    <xf numFmtId="0" fontId="0" fillId="0" borderId="14" xfId="0" pivotButton="1" applyBorder="1"/>
    <xf numFmtId="0" fontId="5" fillId="5" borderId="1" xfId="0" applyFont="1" applyFill="1" applyBorder="1" applyAlignment="1">
      <alignment horizontal="left"/>
    </xf>
    <xf numFmtId="41" fontId="5" fillId="5" borderId="1" xfId="1" applyNumberFormat="1" applyFont="1" applyFill="1" applyBorder="1" applyAlignment="1">
      <alignment horizontal="left"/>
    </xf>
    <xf numFmtId="0" fontId="5" fillId="5" borderId="7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7" fillId="4" borderId="0" xfId="0" applyFont="1" applyFill="1"/>
    <xf numFmtId="22" fontId="0" fillId="0" borderId="0" xfId="0" applyNumberFormat="1"/>
    <xf numFmtId="0" fontId="5" fillId="4" borderId="5" xfId="0" applyFont="1" applyFill="1" applyBorder="1" applyAlignment="1">
      <alignment horizontal="left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0" xfId="0" applyFont="1" applyFill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0" fillId="0" borderId="14" xfId="0" applyNumberFormat="1" applyBorder="1"/>
    <xf numFmtId="0" fontId="2" fillId="3" borderId="0" xfId="0" applyFont="1" applyFill="1" applyBorder="1" applyProtection="1">
      <protection locked="0"/>
    </xf>
    <xf numFmtId="0" fontId="2" fillId="3" borderId="0" xfId="0" applyFont="1" applyFill="1" applyBorder="1" applyAlignment="1" applyProtection="1">
      <alignment horizontal="left"/>
      <protection locked="0"/>
    </xf>
    <xf numFmtId="0" fontId="2" fillId="3" borderId="0" xfId="0" applyNumberFormat="1" applyFont="1" applyFill="1" applyBorder="1" applyProtection="1">
      <protection locked="0"/>
    </xf>
    <xf numFmtId="0" fontId="2" fillId="3" borderId="0" xfId="0" applyFont="1" applyFill="1" applyBorder="1" applyProtection="1">
      <protection locked="0" hidden="1"/>
    </xf>
    <xf numFmtId="0" fontId="2" fillId="3" borderId="0" xfId="0" applyFont="1" applyFill="1" applyBorder="1" applyAlignment="1" applyProtection="1">
      <alignment horizontal="left"/>
      <protection locked="0" hidden="1"/>
    </xf>
    <xf numFmtId="0" fontId="2" fillId="3" borderId="0" xfId="0" applyNumberFormat="1" applyFont="1" applyFill="1" applyBorder="1" applyProtection="1">
      <protection locked="0" hidden="1"/>
    </xf>
    <xf numFmtId="0" fontId="0" fillId="4" borderId="0" xfId="0" applyFill="1" applyBorder="1"/>
    <xf numFmtId="0" fontId="0" fillId="4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left"/>
    </xf>
    <xf numFmtId="164" fontId="0" fillId="4" borderId="0" xfId="0" applyNumberFormat="1" applyFill="1" applyBorder="1"/>
    <xf numFmtId="0" fontId="13" fillId="4" borderId="0" xfId="0" applyFont="1" applyFill="1" applyBorder="1"/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440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_(* #,##0_);_(* \(#,##0\);_(* &quot;-&quot;??_);_(@_)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1" formatCode="d\-mmm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3" formatCode="_-* #,##0_-;\-* #,##0_-;_-* &quot;-&quot;_-;_-@_-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ont>
        <u/>
      </font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7" formatCode="_(* #,##0_);_(* \(#,##0\);_(* &quot;-&quot;??_);_(@_)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m/yyyy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_);_(* \(#,##0\);_(* &quot;-&quot;??_);_(@_)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m/yyyy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 patternType="solid">
          <bgColor theme="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theme="0"/>
      </font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66FF33"/>
      </font>
    </dxf>
    <dxf>
      <font>
        <color rgb="FF9C0006"/>
      </font>
    </dxf>
    <dxf>
      <font>
        <color rgb="FF66FF33"/>
      </font>
    </dxf>
    <dxf>
      <font>
        <color rgb="FF9C0006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66FF33"/>
      </font>
    </dxf>
    <dxf>
      <font>
        <color rgb="FF9C0006"/>
      </font>
    </dxf>
    <dxf>
      <font>
        <color rgb="FF66FF33"/>
      </font>
    </dxf>
    <dxf>
      <font>
        <color rgb="FF9C0006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  <protection hidden="1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protection hidden="1"/>
    </dxf>
    <dxf>
      <font>
        <color theme="0"/>
      </font>
      <protection hidden="1"/>
    </dxf>
    <dxf>
      <font>
        <color theme="0"/>
      </font>
      <protection hidden="1"/>
    </dxf>
    <dxf>
      <font>
        <color theme="0"/>
      </font>
      <protection hidden="1"/>
    </dxf>
    <dxf>
      <font>
        <color theme="0"/>
      </font>
      <protection hidden="1"/>
    </dxf>
    <dxf>
      <font>
        <color theme="0"/>
      </font>
      <protection hidden="1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66FF33"/>
      </font>
    </dxf>
    <dxf>
      <font>
        <color rgb="FF9C0006"/>
      </font>
    </dxf>
    <dxf>
      <font>
        <color rgb="FF66FF33"/>
      </font>
    </dxf>
    <dxf>
      <font>
        <color rgb="FF9C0006"/>
      </font>
    </dxf>
    <dxf>
      <font>
        <color rgb="FF66FF33"/>
      </font>
    </dxf>
    <dxf>
      <font>
        <color rgb="FF9C0006"/>
      </font>
    </dxf>
    <dxf>
      <font>
        <color rgb="FF66FF33"/>
      </font>
    </dxf>
    <dxf>
      <font>
        <color rgb="FF9C0006"/>
      </font>
    </dxf>
    <dxf>
      <font>
        <color rgb="FF66FF33"/>
      </font>
    </dxf>
    <dxf>
      <font>
        <color rgb="FF9C0006"/>
      </font>
    </dxf>
    <dxf>
      <font>
        <color rgb="FF66FF33"/>
      </font>
    </dxf>
    <dxf>
      <font>
        <color rgb="FF9C0006"/>
      </font>
    </dxf>
    <dxf>
      <font>
        <color rgb="FF66FF33"/>
      </font>
    </dxf>
    <dxf>
      <font>
        <color rgb="FF9C0006"/>
      </font>
    </dxf>
    <dxf>
      <font>
        <color rgb="FF66FF33"/>
      </font>
      <fill>
        <patternFill>
          <bgColor theme="0"/>
        </patternFill>
      </fill>
    </dxf>
    <dxf>
      <font>
        <color rgb="FF9C0006"/>
      </font>
    </dxf>
  </dxfs>
  <tableStyles count="0" defaultTableStyle="TableStyleMedium2" defaultPivotStyle="PivotStyleLight16"/>
  <colors>
    <mruColors>
      <color rgb="FF66FF33"/>
      <color rgb="FFCCFFCC"/>
      <color rgb="FFFF000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7/relationships/slicerCache" Target="slicerCaches/slicerCache5.xml"/><Relationship Id="rId18" Type="http://schemas.microsoft.com/office/2007/relationships/slicerCache" Target="slicerCaches/slicerCache10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pivotCacheDefinition" Target="pivotCache/pivotCacheDefinition2.xml"/><Relationship Id="rId12" Type="http://schemas.microsoft.com/office/2007/relationships/slicerCache" Target="slicerCaches/slicerCache4.xml"/><Relationship Id="rId17" Type="http://schemas.microsoft.com/office/2007/relationships/slicerCache" Target="slicerCaches/slicerCache9.xml"/><Relationship Id="rId2" Type="http://schemas.openxmlformats.org/officeDocument/2006/relationships/worksheet" Target="worksheets/sheet2.xml"/><Relationship Id="rId16" Type="http://schemas.microsoft.com/office/2007/relationships/slicerCache" Target="slicerCaches/slicerCache8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3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7.xml"/><Relationship Id="rId23" Type="http://schemas.openxmlformats.org/officeDocument/2006/relationships/calcChain" Target="calcChain.xml"/><Relationship Id="rId10" Type="http://schemas.microsoft.com/office/2007/relationships/slicerCache" Target="slicerCaches/slicerCache2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Relationship Id="rId22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Comportamiento</a:t>
            </a:r>
            <a:r>
              <a:rPr lang="es-CO" baseline="0"/>
              <a:t> de Ingresos Anual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INGRESOS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DashBoard_General!$E$4:$P$4</c:f>
              <c:strCache>
                <c:ptCount val="12"/>
                <c:pt idx="0">
                  <c:v> ENE </c:v>
                </c:pt>
                <c:pt idx="1">
                  <c:v> FEB </c:v>
                </c:pt>
                <c:pt idx="2">
                  <c:v> MAR </c:v>
                </c:pt>
                <c:pt idx="3">
                  <c:v> ABR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DIC </c:v>
                </c:pt>
              </c:strCache>
            </c:strRef>
          </c:cat>
          <c:val>
            <c:numRef>
              <c:f>DashBoard_General!$E$5:$P$5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7-44FB-A17B-2E63E958B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smooth val="0"/>
        <c:axId val="1741345423"/>
        <c:axId val="1741346383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GASTOS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DashBoard_General!$E$4:$P$4</c15:sqref>
                        </c15:formulaRef>
                      </c:ext>
                    </c:extLst>
                    <c:strCache>
                      <c:ptCount val="12"/>
                      <c:pt idx="0">
                        <c:v> ENE </c:v>
                      </c:pt>
                      <c:pt idx="1">
                        <c:v> FEB </c:v>
                      </c:pt>
                      <c:pt idx="2">
                        <c:v> MAR </c:v>
                      </c:pt>
                      <c:pt idx="3">
                        <c:v> ABR </c:v>
                      </c:pt>
                      <c:pt idx="4">
                        <c:v> MAY </c:v>
                      </c:pt>
                      <c:pt idx="5">
                        <c:v> JUN </c:v>
                      </c:pt>
                      <c:pt idx="6">
                        <c:v> JUL </c:v>
                      </c:pt>
                      <c:pt idx="7">
                        <c:v> AGO </c:v>
                      </c:pt>
                      <c:pt idx="8">
                        <c:v> SEP </c:v>
                      </c:pt>
                      <c:pt idx="9">
                        <c:v> OCT </c:v>
                      </c:pt>
                      <c:pt idx="10">
                        <c:v> NOV </c:v>
                      </c:pt>
                      <c:pt idx="11">
                        <c:v> DIC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DashBoard_General!$E$6:$P$6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D37-44FB-A17B-2E63E958B32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TOTAL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DashBoard_General!$E$7:$P$7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D37-44FB-A17B-2E63E958B32F}"/>
                  </c:ext>
                </c:extLst>
              </c15:ser>
            </c15:filteredLineSeries>
          </c:ext>
        </c:extLst>
      </c:lineChart>
      <c:catAx>
        <c:axId val="174134542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1346383"/>
        <c:crosses val="autoZero"/>
        <c:auto val="1"/>
        <c:lblAlgn val="ctr"/>
        <c:lblOffset val="100"/>
        <c:noMultiLvlLbl val="0"/>
      </c:catAx>
      <c:valAx>
        <c:axId val="174134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1345423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Comportamiento</a:t>
            </a:r>
            <a:r>
              <a:rPr lang="es-CO" baseline="0"/>
              <a:t> de Gastos Anual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GASTOS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DashBoard_General!$E$4:$P$4</c:f>
              <c:strCache>
                <c:ptCount val="12"/>
                <c:pt idx="0">
                  <c:v> ENE </c:v>
                </c:pt>
                <c:pt idx="1">
                  <c:v> FEB </c:v>
                </c:pt>
                <c:pt idx="2">
                  <c:v> MAR </c:v>
                </c:pt>
                <c:pt idx="3">
                  <c:v> ABR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DIC </c:v>
                </c:pt>
              </c:strCache>
            </c:strRef>
          </c:cat>
          <c:val>
            <c:numRef>
              <c:f>DashBoard_General!$E$6:$P$6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C6-46FB-B17D-DF8344B8B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smooth val="0"/>
        <c:axId val="1741345423"/>
        <c:axId val="1741346383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INGRESOS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DashBoard_General!$E$4:$P$4</c15:sqref>
                        </c15:formulaRef>
                      </c:ext>
                    </c:extLst>
                    <c:strCache>
                      <c:ptCount val="12"/>
                      <c:pt idx="0">
                        <c:v> ENE </c:v>
                      </c:pt>
                      <c:pt idx="1">
                        <c:v> FEB </c:v>
                      </c:pt>
                      <c:pt idx="2">
                        <c:v> MAR </c:v>
                      </c:pt>
                      <c:pt idx="3">
                        <c:v> ABR </c:v>
                      </c:pt>
                      <c:pt idx="4">
                        <c:v> MAY </c:v>
                      </c:pt>
                      <c:pt idx="5">
                        <c:v> JUN </c:v>
                      </c:pt>
                      <c:pt idx="6">
                        <c:v> JUL </c:v>
                      </c:pt>
                      <c:pt idx="7">
                        <c:v> AGO </c:v>
                      </c:pt>
                      <c:pt idx="8">
                        <c:v> SEP </c:v>
                      </c:pt>
                      <c:pt idx="9">
                        <c:v> OCT </c:v>
                      </c:pt>
                      <c:pt idx="10">
                        <c:v> NOV </c:v>
                      </c:pt>
                      <c:pt idx="11">
                        <c:v> DIC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DashBoard_General!$E$5:$P$5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5C6-46FB-B17D-DF8344B8BE3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TOTAL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DashBoard_General!$E$7:$P$7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5C6-46FB-B17D-DF8344B8BE3B}"/>
                  </c:ext>
                </c:extLst>
              </c15:ser>
            </c15:filteredLineSeries>
          </c:ext>
        </c:extLst>
      </c:lineChart>
      <c:catAx>
        <c:axId val="174134542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1346383"/>
        <c:crosses val="autoZero"/>
        <c:auto val="1"/>
        <c:lblAlgn val="ctr"/>
        <c:lblOffset val="100"/>
        <c:noMultiLvlLbl val="0"/>
      </c:catAx>
      <c:valAx>
        <c:axId val="174134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1345423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Rentabilidad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TOTAL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DashBoard_General!$E$7:$P$7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08-4671-AFD3-1D3509371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smooth val="0"/>
        <c:axId val="1741345423"/>
        <c:axId val="1741346383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INGRESOS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DashBoard_General!$E$4:$P$4</c15:sqref>
                        </c15:formulaRef>
                      </c:ext>
                    </c:extLst>
                    <c:strCache>
                      <c:ptCount val="12"/>
                      <c:pt idx="0">
                        <c:v> ENE </c:v>
                      </c:pt>
                      <c:pt idx="1">
                        <c:v> FEB </c:v>
                      </c:pt>
                      <c:pt idx="2">
                        <c:v> MAR </c:v>
                      </c:pt>
                      <c:pt idx="3">
                        <c:v> ABR </c:v>
                      </c:pt>
                      <c:pt idx="4">
                        <c:v> MAY </c:v>
                      </c:pt>
                      <c:pt idx="5">
                        <c:v> JUN </c:v>
                      </c:pt>
                      <c:pt idx="6">
                        <c:v> JUL </c:v>
                      </c:pt>
                      <c:pt idx="7">
                        <c:v> AGO </c:v>
                      </c:pt>
                      <c:pt idx="8">
                        <c:v> SEP </c:v>
                      </c:pt>
                      <c:pt idx="9">
                        <c:v> OCT </c:v>
                      </c:pt>
                      <c:pt idx="10">
                        <c:v> NOV </c:v>
                      </c:pt>
                      <c:pt idx="11">
                        <c:v> DIC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DashBoard_General!$E$5:$P$5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708-4671-AFD3-1D3509371674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v>GASTOS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DashBoard_General!$E$4:$P$4</c15:sqref>
                        </c15:formulaRef>
                      </c:ext>
                    </c:extLst>
                    <c:strCache>
                      <c:ptCount val="12"/>
                      <c:pt idx="0">
                        <c:v> ENE </c:v>
                      </c:pt>
                      <c:pt idx="1">
                        <c:v> FEB </c:v>
                      </c:pt>
                      <c:pt idx="2">
                        <c:v> MAR </c:v>
                      </c:pt>
                      <c:pt idx="3">
                        <c:v> ABR </c:v>
                      </c:pt>
                      <c:pt idx="4">
                        <c:v> MAY </c:v>
                      </c:pt>
                      <c:pt idx="5">
                        <c:v> JUN </c:v>
                      </c:pt>
                      <c:pt idx="6">
                        <c:v> JUL </c:v>
                      </c:pt>
                      <c:pt idx="7">
                        <c:v> AGO </c:v>
                      </c:pt>
                      <c:pt idx="8">
                        <c:v> SEP </c:v>
                      </c:pt>
                      <c:pt idx="9">
                        <c:v> OCT </c:v>
                      </c:pt>
                      <c:pt idx="10">
                        <c:v> NOV </c:v>
                      </c:pt>
                      <c:pt idx="11">
                        <c:v> DIC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DashBoard_General!$E$6:$P$6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708-4671-AFD3-1D3509371674}"/>
                  </c:ext>
                </c:extLst>
              </c15:ser>
            </c15:filteredLineSeries>
          </c:ext>
        </c:extLst>
      </c:lineChart>
      <c:dateAx>
        <c:axId val="174134542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1346383"/>
        <c:crosses val="autoZero"/>
        <c:auto val="0"/>
        <c:lblOffset val="100"/>
        <c:baseTimeUnit val="days"/>
      </c:dateAx>
      <c:valAx>
        <c:axId val="174134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1345423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[ControlFinanciero.xlsm]DashBoard_General!TablaDinámica7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Participacion</a:t>
            </a:r>
            <a:r>
              <a:rPr lang="en-US" baseline="0"/>
              <a:t> Ingresos_Categoria</a:t>
            </a:r>
            <a:endParaRPr lang="en-US"/>
          </a:p>
        </c:rich>
      </c:tx>
      <c:layout>
        <c:manualLayout>
          <c:xMode val="edge"/>
          <c:yMode val="edge"/>
          <c:x val="0.17223569378930179"/>
          <c:y val="2.8359640435487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shade val="58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1">
              <a:shade val="86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1">
              <a:tint val="86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1">
              <a:tint val="58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1">
              <a:tint val="54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</c:pivotFmts>
    <c:plotArea>
      <c:layout>
        <c:manualLayout>
          <c:layoutTarget val="inner"/>
          <c:xMode val="edge"/>
          <c:yMode val="edge"/>
          <c:x val="0.13708542556302697"/>
          <c:y val="0.17530984395870808"/>
          <c:w val="0.7319253477337011"/>
          <c:h val="0.6819548203387005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DashBoard_General!$C$15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C97-402E-80E1-B9406D36EBF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C97-402E-80E1-B9406D36EBF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CC97-402E-80E1-B9406D36EBF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C97-402E-80E1-B9406D36EBF8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4C84-49A7-8E90-6C7F5E8BB893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F497-47A2-8737-6B3AA8999BBA}"/>
              </c:ext>
            </c:extLst>
          </c:dPt>
          <c:cat>
            <c:strRef>
              <c:f>DashBoard_General!$B$16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DashBoard_General!$C$16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846-42FE-9DAE-AC8EFD187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79998864"/>
        <c:axId val="280014704"/>
      </c:barChart>
      <c:valAx>
        <c:axId val="28001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79998864"/>
        <c:crosses val="autoZero"/>
        <c:crossBetween val="between"/>
      </c:valAx>
      <c:catAx>
        <c:axId val="279998864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80014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[ControlFinanciero.xlsm]DashBoard_General!TablaDinámica8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Participacion Gastos_Categoria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shade val="5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2">
              <a:shade val="7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2">
              <a:shade val="9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tint val="7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</c:pivotFmt>
      <c:pivotFmt>
        <c:idx val="8"/>
        <c:spPr>
          <a:solidFill>
            <a:schemeClr val="accent2">
              <a:tint val="77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2">
              <a:tint val="54000"/>
            </a:schemeClr>
          </a:solidFill>
          <a:ln>
            <a:noFill/>
          </a:ln>
          <a:effectLst/>
        </c:spPr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DashBoard_General!$C$32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35-4F56-9549-B1341A0BABFF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35-4F56-9549-B1341A0BABFF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9E35-4F56-9549-B1341A0BABFF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9E35-4F56-9549-B1341A0BABFF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9E35-4F56-9549-B1341A0BABFF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9E35-4F56-9549-B1341A0BABFF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C725-479C-97F4-500B5BAF316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725-479C-97F4-500B5BAF316E}"/>
              </c:ext>
            </c:extLst>
          </c:dPt>
          <c:cat>
            <c:strRef>
              <c:f>DashBoard_General!$B$33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DashBoard_General!$C$33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EDE-4D15-B337-C476A4D1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0187568"/>
        <c:axId val="470169808"/>
      </c:barChart>
      <c:valAx>
        <c:axId val="47016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70187568"/>
        <c:crosses val="autoZero"/>
        <c:crossBetween val="between"/>
      </c:valAx>
      <c:catAx>
        <c:axId val="470187568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70169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MOVIMIENTOS</a:t>
            </a:r>
            <a:r>
              <a:rPr lang="es-CO" baseline="0"/>
              <a:t> VS PRESUPUESTO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DashBoard_General!$C$69</c:f>
              <c:strCache>
                <c:ptCount val="1"/>
                <c:pt idx="0">
                  <c:v>INGRESOS PRESUPUESTO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DashBoard_General!$D$68:$O$68</c:f>
              <c:strCache>
                <c:ptCount val="12"/>
                <c:pt idx="0">
                  <c:v> ENE </c:v>
                </c:pt>
                <c:pt idx="1">
                  <c:v> FEB </c:v>
                </c:pt>
                <c:pt idx="2">
                  <c:v> MAR </c:v>
                </c:pt>
                <c:pt idx="3">
                  <c:v> ABR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DIC </c:v>
                </c:pt>
              </c:strCache>
            </c:strRef>
          </c:cat>
          <c:val>
            <c:numRef>
              <c:f>DashBoard_General!$D$69:$O$69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7A-4F35-94B5-BCCDCC3649AF}"/>
            </c:ext>
          </c:extLst>
        </c:ser>
        <c:ser>
          <c:idx val="1"/>
          <c:order val="1"/>
          <c:tx>
            <c:strRef>
              <c:f>DashBoard_General!$C$70</c:f>
              <c:strCache>
                <c:ptCount val="1"/>
                <c:pt idx="0">
                  <c:v>INGRESOS REALES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DashBoard_General!$D$68:$O$68</c:f>
              <c:strCache>
                <c:ptCount val="12"/>
                <c:pt idx="0">
                  <c:v> ENE </c:v>
                </c:pt>
                <c:pt idx="1">
                  <c:v> FEB </c:v>
                </c:pt>
                <c:pt idx="2">
                  <c:v> MAR </c:v>
                </c:pt>
                <c:pt idx="3">
                  <c:v> ABR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DIC </c:v>
                </c:pt>
              </c:strCache>
            </c:strRef>
          </c:cat>
          <c:val>
            <c:numRef>
              <c:f>DashBoard_General!$D$70:$O$70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7A-4F35-94B5-BCCDCC36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1144543"/>
        <c:axId val="671130143"/>
      </c:barChart>
      <c:catAx>
        <c:axId val="67114454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1130143"/>
        <c:crosses val="autoZero"/>
        <c:auto val="1"/>
        <c:lblAlgn val="ctr"/>
        <c:lblOffset val="100"/>
        <c:noMultiLvlLbl val="0"/>
      </c:catAx>
      <c:valAx>
        <c:axId val="671130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1144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DashBoard_General!$C$71</c:f>
              <c:strCache>
                <c:ptCount val="1"/>
                <c:pt idx="0">
                  <c:v>DIFERENCIA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DashBoard_General!$D$68:$O$68</c:f>
              <c:strCache>
                <c:ptCount val="12"/>
                <c:pt idx="0">
                  <c:v> ENE </c:v>
                </c:pt>
                <c:pt idx="1">
                  <c:v> FEB </c:v>
                </c:pt>
                <c:pt idx="2">
                  <c:v> MAR </c:v>
                </c:pt>
                <c:pt idx="3">
                  <c:v> ABR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DIC </c:v>
                </c:pt>
              </c:strCache>
            </c:strRef>
          </c:cat>
          <c:val>
            <c:numRef>
              <c:f>DashBoard_General!$D$71:$O$71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88-44A9-929A-50DB6DEB6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2060687"/>
        <c:axId val="36204292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DashBoard_General!$C$69</c15:sqref>
                        </c15:formulaRef>
                      </c:ext>
                    </c:extLst>
                    <c:strCache>
                      <c:ptCount val="1"/>
                      <c:pt idx="0">
                        <c:v>INGRESOS PRESUPUESTO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DashBoard_General!$D$68:$O$68</c15:sqref>
                        </c15:formulaRef>
                      </c:ext>
                    </c:extLst>
                    <c:strCache>
                      <c:ptCount val="12"/>
                      <c:pt idx="0">
                        <c:v> ENE </c:v>
                      </c:pt>
                      <c:pt idx="1">
                        <c:v> FEB </c:v>
                      </c:pt>
                      <c:pt idx="2">
                        <c:v> MAR </c:v>
                      </c:pt>
                      <c:pt idx="3">
                        <c:v> ABR </c:v>
                      </c:pt>
                      <c:pt idx="4">
                        <c:v> MAY </c:v>
                      </c:pt>
                      <c:pt idx="5">
                        <c:v> JUN </c:v>
                      </c:pt>
                      <c:pt idx="6">
                        <c:v> JUL </c:v>
                      </c:pt>
                      <c:pt idx="7">
                        <c:v> AGO </c:v>
                      </c:pt>
                      <c:pt idx="8">
                        <c:v> SEP </c:v>
                      </c:pt>
                      <c:pt idx="9">
                        <c:v> OCT </c:v>
                      </c:pt>
                      <c:pt idx="10">
                        <c:v> NOV </c:v>
                      </c:pt>
                      <c:pt idx="11">
                        <c:v> DIC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DashBoard_General!$D$69:$O$69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3788-44A9-929A-50DB6DEB65F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DashBoard_General!$C$70</c15:sqref>
                        </c15:formulaRef>
                      </c:ext>
                    </c:extLst>
                    <c:strCache>
                      <c:ptCount val="1"/>
                      <c:pt idx="0">
                        <c:v>INGRESOS REALES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DashBoard_General!$D$68:$O$68</c15:sqref>
                        </c15:formulaRef>
                      </c:ext>
                    </c:extLst>
                    <c:strCache>
                      <c:ptCount val="12"/>
                      <c:pt idx="0">
                        <c:v> ENE </c:v>
                      </c:pt>
                      <c:pt idx="1">
                        <c:v> FEB </c:v>
                      </c:pt>
                      <c:pt idx="2">
                        <c:v> MAR </c:v>
                      </c:pt>
                      <c:pt idx="3">
                        <c:v> ABR </c:v>
                      </c:pt>
                      <c:pt idx="4">
                        <c:v> MAY </c:v>
                      </c:pt>
                      <c:pt idx="5">
                        <c:v> JUN </c:v>
                      </c:pt>
                      <c:pt idx="6">
                        <c:v> JUL </c:v>
                      </c:pt>
                      <c:pt idx="7">
                        <c:v> AGO </c:v>
                      </c:pt>
                      <c:pt idx="8">
                        <c:v> SEP </c:v>
                      </c:pt>
                      <c:pt idx="9">
                        <c:v> OCT </c:v>
                      </c:pt>
                      <c:pt idx="10">
                        <c:v> NOV </c:v>
                      </c:pt>
                      <c:pt idx="11">
                        <c:v> DIC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DashBoard_General!$D$70:$O$70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788-44A9-929A-50DB6DEB65F5}"/>
                  </c:ext>
                </c:extLst>
              </c15:ser>
            </c15:filteredLineSeries>
          </c:ext>
        </c:extLst>
      </c:lineChart>
      <c:catAx>
        <c:axId val="362060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2042927"/>
        <c:crosses val="autoZero"/>
        <c:auto val="1"/>
        <c:lblAlgn val="ctr"/>
        <c:lblOffset val="100"/>
        <c:noMultiLvlLbl val="0"/>
      </c:catAx>
      <c:valAx>
        <c:axId val="36204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2060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MOVIMIENTOS</a:t>
            </a:r>
            <a:r>
              <a:rPr lang="es-CO" baseline="0"/>
              <a:t> VS PRESUPUESTO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DashBoard_General!$C$93</c:f>
              <c:strCache>
                <c:ptCount val="1"/>
                <c:pt idx="0">
                  <c:v>GASTOS PRESUPUESTO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DashBoard_General!$D$92:$O$92</c:f>
              <c:strCache>
                <c:ptCount val="12"/>
                <c:pt idx="0">
                  <c:v> ENE </c:v>
                </c:pt>
                <c:pt idx="1">
                  <c:v> FEB </c:v>
                </c:pt>
                <c:pt idx="2">
                  <c:v> MAR </c:v>
                </c:pt>
                <c:pt idx="3">
                  <c:v> ABR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DIC </c:v>
                </c:pt>
              </c:strCache>
            </c:strRef>
          </c:cat>
          <c:val>
            <c:numRef>
              <c:f>DashBoard_General!$D$93:$O$93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89-4891-B93C-0C2FC98F2174}"/>
            </c:ext>
          </c:extLst>
        </c:ser>
        <c:ser>
          <c:idx val="1"/>
          <c:order val="1"/>
          <c:tx>
            <c:strRef>
              <c:f>DashBoard_General!$C$94</c:f>
              <c:strCache>
                <c:ptCount val="1"/>
                <c:pt idx="0">
                  <c:v>GASTOS REALES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DashBoard_General!$D$92:$O$92</c:f>
              <c:strCache>
                <c:ptCount val="12"/>
                <c:pt idx="0">
                  <c:v> ENE </c:v>
                </c:pt>
                <c:pt idx="1">
                  <c:v> FEB </c:v>
                </c:pt>
                <c:pt idx="2">
                  <c:v> MAR </c:v>
                </c:pt>
                <c:pt idx="3">
                  <c:v> ABR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DIC </c:v>
                </c:pt>
              </c:strCache>
            </c:strRef>
          </c:cat>
          <c:val>
            <c:numRef>
              <c:f>DashBoard_General!$D$94:$O$94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89-4891-B93C-0C2FC98F2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3543119"/>
        <c:axId val="683559439"/>
      </c:barChart>
      <c:catAx>
        <c:axId val="683543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83559439"/>
        <c:crosses val="autoZero"/>
        <c:auto val="1"/>
        <c:lblAlgn val="ctr"/>
        <c:lblOffset val="100"/>
        <c:noMultiLvlLbl val="0"/>
      </c:catAx>
      <c:valAx>
        <c:axId val="683559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83543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DashBoard_General!$C$95</c:f>
              <c:strCache>
                <c:ptCount val="1"/>
                <c:pt idx="0">
                  <c:v>DIFERENCIA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DashBoard_General!$D$92:$O$92</c:f>
              <c:strCache>
                <c:ptCount val="12"/>
                <c:pt idx="0">
                  <c:v> ENE </c:v>
                </c:pt>
                <c:pt idx="1">
                  <c:v> FEB </c:v>
                </c:pt>
                <c:pt idx="2">
                  <c:v> MAR </c:v>
                </c:pt>
                <c:pt idx="3">
                  <c:v> ABR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DIC </c:v>
                </c:pt>
              </c:strCache>
            </c:strRef>
          </c:cat>
          <c:val>
            <c:numRef>
              <c:f>DashBoard_General!$D$95:$O$95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1E-4402-BAEA-F8F709288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1090783"/>
        <c:axId val="671091263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DashBoard_General!$C$93</c15:sqref>
                        </c15:formulaRef>
                      </c:ext>
                    </c:extLst>
                    <c:strCache>
                      <c:ptCount val="1"/>
                      <c:pt idx="0">
                        <c:v>GASTOS PRESUPUESTO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DashBoard_General!$D$92:$O$92</c15:sqref>
                        </c15:formulaRef>
                      </c:ext>
                    </c:extLst>
                    <c:strCache>
                      <c:ptCount val="12"/>
                      <c:pt idx="0">
                        <c:v> ENE </c:v>
                      </c:pt>
                      <c:pt idx="1">
                        <c:v> FEB </c:v>
                      </c:pt>
                      <c:pt idx="2">
                        <c:v> MAR </c:v>
                      </c:pt>
                      <c:pt idx="3">
                        <c:v> ABR </c:v>
                      </c:pt>
                      <c:pt idx="4">
                        <c:v> MAY </c:v>
                      </c:pt>
                      <c:pt idx="5">
                        <c:v> JUN </c:v>
                      </c:pt>
                      <c:pt idx="6">
                        <c:v> JUL </c:v>
                      </c:pt>
                      <c:pt idx="7">
                        <c:v> AGO </c:v>
                      </c:pt>
                      <c:pt idx="8">
                        <c:v> SEP </c:v>
                      </c:pt>
                      <c:pt idx="9">
                        <c:v> OCT </c:v>
                      </c:pt>
                      <c:pt idx="10">
                        <c:v> NOV </c:v>
                      </c:pt>
                      <c:pt idx="11">
                        <c:v> DIC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DashBoard_General!$D$93:$O$93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31E-4402-BAEA-F8F709288A7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DashBoard_General!$C$94</c15:sqref>
                        </c15:formulaRef>
                      </c:ext>
                    </c:extLst>
                    <c:strCache>
                      <c:ptCount val="1"/>
                      <c:pt idx="0">
                        <c:v>GASTOS REALES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DashBoard_General!$D$92:$O$92</c15:sqref>
                        </c15:formulaRef>
                      </c:ext>
                    </c:extLst>
                    <c:strCache>
                      <c:ptCount val="12"/>
                      <c:pt idx="0">
                        <c:v> ENE </c:v>
                      </c:pt>
                      <c:pt idx="1">
                        <c:v> FEB </c:v>
                      </c:pt>
                      <c:pt idx="2">
                        <c:v> MAR </c:v>
                      </c:pt>
                      <c:pt idx="3">
                        <c:v> ABR </c:v>
                      </c:pt>
                      <c:pt idx="4">
                        <c:v> MAY </c:v>
                      </c:pt>
                      <c:pt idx="5">
                        <c:v> JUN </c:v>
                      </c:pt>
                      <c:pt idx="6">
                        <c:v> JUL </c:v>
                      </c:pt>
                      <c:pt idx="7">
                        <c:v> AGO </c:v>
                      </c:pt>
                      <c:pt idx="8">
                        <c:v> SEP </c:v>
                      </c:pt>
                      <c:pt idx="9">
                        <c:v> OCT </c:v>
                      </c:pt>
                      <c:pt idx="10">
                        <c:v> NOV </c:v>
                      </c:pt>
                      <c:pt idx="11">
                        <c:v> DIC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DashBoard_General!$D$94:$O$94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31E-4402-BAEA-F8F709288A79}"/>
                  </c:ext>
                </c:extLst>
              </c15:ser>
            </c15:filteredLineSeries>
          </c:ext>
        </c:extLst>
      </c:lineChart>
      <c:catAx>
        <c:axId val="67109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1091263"/>
        <c:crosses val="autoZero"/>
        <c:auto val="1"/>
        <c:lblAlgn val="ctr"/>
        <c:lblOffset val="100"/>
        <c:noMultiLvlLbl val="0"/>
      </c:catAx>
      <c:valAx>
        <c:axId val="67109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1090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[ControlFinanciero.xlsm]Presupuesto!TablaDinámica3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Distribucion Presupuesto Ingresos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shade val="5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>
              <a:shade val="7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>
              <a:shade val="9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>
              <a:tint val="9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>
              <a:tint val="7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>
              <a:tint val="5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6362387551485789"/>
          <c:y val="0.21811943263212194"/>
          <c:w val="0.49621384541035674"/>
          <c:h val="0.6893404232931871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Presupuesto!$F$28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8FD-40CC-9344-F9450733AE5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8FD-40CC-9344-F9450733AE5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8FD-40CC-9344-F9450733AE5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8FD-40CC-9344-F9450733AE5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8FD-40CC-9344-F9450733AE5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8FD-40CC-9344-F9450733AE51}"/>
              </c:ext>
            </c:extLst>
          </c:dPt>
          <c:cat>
            <c:strRef>
              <c:f>Presupuesto!$E$29:$E$30</c:f>
              <c:strCache>
                <c:ptCount val="1"/>
              </c:strCache>
            </c:strRef>
          </c:cat>
          <c:val>
            <c:numRef>
              <c:f>Presupuesto!$F$29:$F$30</c:f>
              <c:numCache>
                <c:formatCode>"$"\ 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FD-40CC-9344-F9450733A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39913168"/>
        <c:axId val="539908848"/>
      </c:barChart>
      <c:valAx>
        <c:axId val="539908848"/>
        <c:scaling>
          <c:orientation val="minMax"/>
        </c:scaling>
        <c:delete val="0"/>
        <c:axPos val="b"/>
        <c:majorGridlines/>
        <c:numFmt formatCode="#,##0" sourceLinked="0"/>
        <c:majorTickMark val="out"/>
        <c:minorTickMark val="none"/>
        <c:tickLblPos val="nextTo"/>
        <c:crossAx val="539913168"/>
        <c:crosses val="autoZero"/>
        <c:crossBetween val="between"/>
      </c:valAx>
      <c:catAx>
        <c:axId val="539913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39908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[ControlFinanciero.xlsm]Presupuesto!TablaDinámica6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Distribucion Presupuesto Gastos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shade val="44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2">
              <a:shade val="58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2">
              <a:shade val="72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2">
              <a:shade val="86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2">
              <a:tint val="86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2">
              <a:tint val="72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2">
              <a:tint val="58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2">
              <a:tint val="44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6726717969872404"/>
          <c:y val="0.19707618274448549"/>
          <c:w val="0.50133726315436"/>
          <c:h val="0.7106745115221422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Presupuesto!$M$27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467-4217-8636-9E2E2E942B3F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467-4217-8636-9E2E2E942B3F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467-4217-8636-9E2E2E942B3F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467-4217-8636-9E2E2E942B3F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467-4217-8636-9E2E2E942B3F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467-4217-8636-9E2E2E942B3F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467-4217-8636-9E2E2E942B3F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2467-4217-8636-9E2E2E942B3F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2467-4217-8636-9E2E2E942B3F}"/>
              </c:ext>
            </c:extLst>
          </c:dPt>
          <c:cat>
            <c:strRef>
              <c:f>Presupuesto!$L$28:$L$29</c:f>
              <c:strCache>
                <c:ptCount val="1"/>
              </c:strCache>
            </c:strRef>
          </c:cat>
          <c:val>
            <c:numRef>
              <c:f>Presupuesto!$M$28:$M$29</c:f>
              <c:numCache>
                <c:formatCode>"$"\ 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7-4217-8636-9E2E2E942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47771344"/>
        <c:axId val="747767504"/>
      </c:barChart>
      <c:valAx>
        <c:axId val="747767504"/>
        <c:scaling>
          <c:orientation val="minMax"/>
        </c:scaling>
        <c:delete val="0"/>
        <c:axPos val="b"/>
        <c:majorGridlines/>
        <c:numFmt formatCode="#,##0" sourceLinked="0"/>
        <c:majorTickMark val="out"/>
        <c:minorTickMark val="none"/>
        <c:tickLblPos val="low"/>
        <c:crossAx val="747771344"/>
        <c:crosses val="autoZero"/>
        <c:crossBetween val="between"/>
      </c:valAx>
      <c:catAx>
        <c:axId val="7477713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47767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[ControlFinanciero.xlsm]Ingresos_Gastos!TablaDinámica1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Segmentacion</a:t>
            </a:r>
            <a:r>
              <a:rPr lang="en-US" baseline="0"/>
              <a:t> Ingresos</a:t>
            </a:r>
            <a:endParaRPr lang="en-US"/>
          </a:p>
        </c:rich>
      </c:tx>
      <c:layout>
        <c:manualLayout>
          <c:xMode val="edge"/>
          <c:yMode val="edge"/>
          <c:x val="0.28227872270934345"/>
          <c:y val="2.361709032953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>
              <a:shade val="53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1">
              <a:shade val="76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1">
              <a:shade val="76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1">
              <a:tint val="54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Ingresos_Gastos!$L$44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09C4-4DE5-88D6-7F856CEC1BB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9C4-4DE5-88D6-7F856CEC1BBD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09C4-4DE5-88D6-7F856CEC1BB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09C4-4DE5-88D6-7F856CEC1BB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09C4-4DE5-88D6-7F856CEC1BBD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49B4-436F-A967-8781AF5B4531}"/>
              </c:ext>
            </c:extLst>
          </c:dPt>
          <c:cat>
            <c:strRef>
              <c:f>Ingresos_Gastos!$K$45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Ingresos_Gastos!$L$45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9C4-4DE5-88D6-7F856CEC1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633764016"/>
        <c:axId val="1633756336"/>
      </c:barChart>
      <c:catAx>
        <c:axId val="1633764016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33756336"/>
        <c:crosses val="autoZero"/>
        <c:auto val="1"/>
        <c:lblAlgn val="ctr"/>
        <c:lblOffset val="100"/>
        <c:noMultiLvlLbl val="0"/>
      </c:catAx>
      <c:valAx>
        <c:axId val="163375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3376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[ControlFinanciero.xlsm]Ingresos_Gastos!TablaDinámica2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Segmentacion</a:t>
            </a:r>
            <a:r>
              <a:rPr lang="en-US" baseline="0"/>
              <a:t> Gastos</a:t>
            </a:r>
            <a:endParaRPr lang="en-US"/>
          </a:p>
        </c:rich>
      </c:tx>
      <c:layout>
        <c:manualLayout>
          <c:xMode val="edge"/>
          <c:yMode val="edge"/>
          <c:x val="0.31472405817209498"/>
          <c:y val="2.8544664370296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2">
              <a:shade val="5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2">
              <a:shade val="9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2">
              <a:shade val="70000"/>
            </a:schemeClr>
          </a:solidFill>
          <a:ln>
            <a:noFill/>
          </a:ln>
          <a:effectLst/>
        </c:spPr>
      </c:pivotFmt>
      <c:pivotFmt>
        <c:idx val="4"/>
      </c:pivotFmt>
      <c:pivotFmt>
        <c:idx val="5"/>
        <c:spPr>
          <a:solidFill>
            <a:schemeClr val="accent2">
              <a:tint val="70000"/>
            </a:schemeClr>
          </a:solidFill>
          <a:ln>
            <a:noFill/>
          </a:ln>
          <a:effectLst/>
        </c:spPr>
      </c:pivotFmt>
      <c:pivotFmt>
        <c:idx val="6"/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</c:pivotFmt>
      <c:pivotFmt>
        <c:idx val="8"/>
        <c:spPr>
          <a:solidFill>
            <a:schemeClr val="accent2">
              <a:tint val="77000"/>
            </a:schemeClr>
          </a:solidFill>
          <a:ln>
            <a:noFill/>
          </a:ln>
          <a:effectLst/>
        </c:spPr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Ingresos_Gastos!$P$44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AA52-44DB-B60B-58338EF580D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AA52-44DB-B60B-58338EF580D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AA52-44DB-B60B-58338EF580D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A52-44DB-B60B-58338EF580D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AA52-44DB-B60B-58338EF580D3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AA52-44DB-B60B-58338EF580D3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EE30-4D97-AC8E-5C090D2F6B3B}"/>
              </c:ext>
            </c:extLst>
          </c:dPt>
          <c:cat>
            <c:strRef>
              <c:f>Ingresos_Gastos!$O$45</c:f>
              <c:strCache>
                <c:ptCount val="1"/>
                <c:pt idx="0">
                  <c:v>Total general</c:v>
                </c:pt>
              </c:strCache>
            </c:strRef>
          </c:cat>
          <c:val>
            <c:numRef>
              <c:f>Ingresos_Gastos!$P$45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A52-44DB-B60B-58338EF58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759909104"/>
        <c:axId val="1759901904"/>
      </c:barChart>
      <c:catAx>
        <c:axId val="1759909104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59901904"/>
        <c:crosses val="autoZero"/>
        <c:auto val="1"/>
        <c:lblAlgn val="ctr"/>
        <c:lblOffset val="100"/>
        <c:noMultiLvlLbl val="0"/>
      </c:catAx>
      <c:valAx>
        <c:axId val="175990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5990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checked="Checked" fmlaLink="$J$9" lockText="1" noThreeD="1"/>
</file>

<file path=xl/ctrlProps/ctrlProp17.xml><?xml version="1.0" encoding="utf-8"?>
<formControlPr xmlns="http://schemas.microsoft.com/office/spreadsheetml/2009/9/main" objectType="CheckBox" checked="Checked" fmlaLink="J10" lockText="1" noThreeD="1"/>
</file>

<file path=xl/ctrlProps/ctrlProp18.xml><?xml version="1.0" encoding="utf-8"?>
<formControlPr xmlns="http://schemas.microsoft.com/office/spreadsheetml/2009/9/main" objectType="CheckBox" checked="Checked" fmlaLink="J11" lockText="1" noThreeD="1"/>
</file>

<file path=xl/ctrlProps/ctrlProp19.xml><?xml version="1.0" encoding="utf-8"?>
<formControlPr xmlns="http://schemas.microsoft.com/office/spreadsheetml/2009/9/main" objectType="CheckBox" checked="Checked" fmlaLink="J12" lockText="1" noThreeD="1"/>
</file>

<file path=xl/ctrlProps/ctrlProp20.xml><?xml version="1.0" encoding="utf-8"?>
<formControlPr xmlns="http://schemas.microsoft.com/office/spreadsheetml/2009/9/main" objectType="CheckBox" checked="Checked" fmlaLink="J13" lockText="1" noThreeD="1"/>
</file>

<file path=xl/ctrlProps/ctrlProp21.xml><?xml version="1.0" encoding="utf-8"?>
<formControlPr xmlns="http://schemas.microsoft.com/office/spreadsheetml/2009/9/main" objectType="CheckBox" checked="Checked" fmlaLink="J14" lockText="1" noThreeD="1"/>
</file>

<file path=xl/ctrlProps/ctrlProp22.xml><?xml version="1.0" encoding="utf-8"?>
<formControlPr xmlns="http://schemas.microsoft.com/office/spreadsheetml/2009/9/main" objectType="CheckBox" checked="Checked" fmlaLink="J15" lockText="1" noThreeD="1"/>
</file>

<file path=xl/ctrlProps/ctrlProp23.xml><?xml version="1.0" encoding="utf-8"?>
<formControlPr xmlns="http://schemas.microsoft.com/office/spreadsheetml/2009/9/main" objectType="CheckBox" checked="Checked" fmlaLink="J16" lockText="1" noThreeD="1"/>
</file>

<file path=xl/ctrlProps/ctrlProp24.xml><?xml version="1.0" encoding="utf-8"?>
<formControlPr xmlns="http://schemas.microsoft.com/office/spreadsheetml/2009/9/main" objectType="CheckBox" checked="Checked" fmlaLink="J17" lockText="1" noThreeD="1"/>
</file>

<file path=xl/ctrlProps/ctrlProp25.xml><?xml version="1.0" encoding="utf-8"?>
<formControlPr xmlns="http://schemas.microsoft.com/office/spreadsheetml/2009/9/main" objectType="CheckBox" checked="Checked" fmlaLink="J18" lockText="1" noThreeD="1"/>
</file>

<file path=xl/ctrlProps/ctrlProp26.xml><?xml version="1.0" encoding="utf-8"?>
<formControlPr xmlns="http://schemas.microsoft.com/office/spreadsheetml/2009/9/main" objectType="CheckBox" checked="Checked" fmlaLink="J19" lockText="1" noThreeD="1"/>
</file>

<file path=xl/ctrlProps/ctrlProp27.xml><?xml version="1.0" encoding="utf-8"?>
<formControlPr xmlns="http://schemas.microsoft.com/office/spreadsheetml/2009/9/main" objectType="CheckBox" checked="Checked" fmlaLink="J20" lockText="1" noThreeD="1"/>
</file>

<file path=xl/ctrlProps/ctrlProp28.xml><?xml version="1.0" encoding="utf-8"?>
<formControlPr xmlns="http://schemas.microsoft.com/office/spreadsheetml/2009/9/main" objectType="CheckBox" checked="Checked" fmlaLink="J21" lockText="1" noThreeD="1"/>
</file>

<file path=xl/ctrlProps/ctrlProp29.xml><?xml version="1.0" encoding="utf-8"?>
<formControlPr xmlns="http://schemas.microsoft.com/office/spreadsheetml/2009/9/main" objectType="CheckBox" checked="Checked" fmlaLink="J22" lockText="1" noThreeD="1"/>
</file>

<file path=xl/ctrlProps/ctrlProp30.xml><?xml version="1.0" encoding="utf-8"?>
<formControlPr xmlns="http://schemas.microsoft.com/office/spreadsheetml/2009/9/main" objectType="CheckBox" checked="Checked" fmlaLink="$Q$9" lockText="1" noThreeD="1"/>
</file>

<file path=xl/ctrlProps/ctrlProp31.xml><?xml version="1.0" encoding="utf-8"?>
<formControlPr xmlns="http://schemas.microsoft.com/office/spreadsheetml/2009/9/main" objectType="CheckBox" checked="Checked" fmlaLink="$Q$10" lockText="1" noThreeD="1"/>
</file>

<file path=xl/ctrlProps/ctrlProp32.xml><?xml version="1.0" encoding="utf-8"?>
<formControlPr xmlns="http://schemas.microsoft.com/office/spreadsheetml/2009/9/main" objectType="CheckBox" checked="Checked" fmlaLink="$Q$11" lockText="1" noThreeD="1"/>
</file>

<file path=xl/ctrlProps/ctrlProp33.xml><?xml version="1.0" encoding="utf-8"?>
<formControlPr xmlns="http://schemas.microsoft.com/office/spreadsheetml/2009/9/main" objectType="CheckBox" checked="Checked" fmlaLink="$Q$12" lockText="1" noThreeD="1"/>
</file>

<file path=xl/ctrlProps/ctrlProp34.xml><?xml version="1.0" encoding="utf-8"?>
<formControlPr xmlns="http://schemas.microsoft.com/office/spreadsheetml/2009/9/main" objectType="CheckBox" checked="Checked" fmlaLink="$Q$13" lockText="1" noThreeD="1"/>
</file>

<file path=xl/ctrlProps/ctrlProp35.xml><?xml version="1.0" encoding="utf-8"?>
<formControlPr xmlns="http://schemas.microsoft.com/office/spreadsheetml/2009/9/main" objectType="CheckBox" checked="Checked" fmlaLink="$Q$14" lockText="1" noThreeD="1"/>
</file>

<file path=xl/ctrlProps/ctrlProp36.xml><?xml version="1.0" encoding="utf-8"?>
<formControlPr xmlns="http://schemas.microsoft.com/office/spreadsheetml/2009/9/main" objectType="CheckBox" checked="Checked" fmlaLink="$Q$15" lockText="1" noThreeD="1"/>
</file>

<file path=xl/ctrlProps/ctrlProp37.xml><?xml version="1.0" encoding="utf-8"?>
<formControlPr xmlns="http://schemas.microsoft.com/office/spreadsheetml/2009/9/main" objectType="CheckBox" checked="Checked" fmlaLink="$Q$16" lockText="1" noThreeD="1"/>
</file>

<file path=xl/ctrlProps/ctrlProp38.xml><?xml version="1.0" encoding="utf-8"?>
<formControlPr xmlns="http://schemas.microsoft.com/office/spreadsheetml/2009/9/main" objectType="CheckBox" checked="Checked" fmlaLink="$Q$17" lockText="1" noThreeD="1"/>
</file>

<file path=xl/ctrlProps/ctrlProp39.xml><?xml version="1.0" encoding="utf-8"?>
<formControlPr xmlns="http://schemas.microsoft.com/office/spreadsheetml/2009/9/main" objectType="CheckBox" checked="Checked" fmlaLink="$Q$18" lockText="1" noThreeD="1"/>
</file>

<file path=xl/ctrlProps/ctrlProp40.xml><?xml version="1.0" encoding="utf-8"?>
<formControlPr xmlns="http://schemas.microsoft.com/office/spreadsheetml/2009/9/main" objectType="CheckBox" checked="Checked" fmlaLink="$Q$19" lockText="1" noThreeD="1"/>
</file>

<file path=xl/ctrlProps/ctrlProp41.xml><?xml version="1.0" encoding="utf-8"?>
<formControlPr xmlns="http://schemas.microsoft.com/office/spreadsheetml/2009/9/main" objectType="CheckBox" checked="Checked" fmlaLink="$Q$20" lockText="1" noThreeD="1"/>
</file>

<file path=xl/ctrlProps/ctrlProp42.xml><?xml version="1.0" encoding="utf-8"?>
<formControlPr xmlns="http://schemas.microsoft.com/office/spreadsheetml/2009/9/main" objectType="CheckBox" fmlaLink="$Q$21" lockText="1" noThreeD="1"/>
</file>

<file path=xl/ctrlProps/ctrlProp43.xml><?xml version="1.0" encoding="utf-8"?>
<formControlPr xmlns="http://schemas.microsoft.com/office/spreadsheetml/2009/9/main" objectType="CheckBox" fmlaLink="$Q$22" lockText="1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8.jpg"/><Relationship Id="rId11" Type="http://schemas.openxmlformats.org/officeDocument/2006/relationships/image" Target="../media/image9.jpg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g"/><Relationship Id="rId2" Type="http://schemas.openxmlformats.org/officeDocument/2006/relationships/image" Target="../media/image10.png"/><Relationship Id="rId1" Type="http://schemas.microsoft.com/office/2011/relationships/webextension" Target="../webextensions/webextension1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webextension" Target="../webextensions/webextension2.xml"/><Relationship Id="rId1" Type="http://schemas.openxmlformats.org/officeDocument/2006/relationships/image" Target="../media/image8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664037</xdr:colOff>
      <xdr:row>9</xdr:row>
      <xdr:rowOff>13651</xdr:rowOff>
    </xdr:from>
    <xdr:to>
      <xdr:col>18</xdr:col>
      <xdr:colOff>532580</xdr:colOff>
      <xdr:row>23</xdr:row>
      <xdr:rowOff>173812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639816</xdr:colOff>
      <xdr:row>25</xdr:row>
      <xdr:rowOff>8195</xdr:rowOff>
    </xdr:from>
    <xdr:to>
      <xdr:col>18</xdr:col>
      <xdr:colOff>508359</xdr:colOff>
      <xdr:row>39</xdr:row>
      <xdr:rowOff>172318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18</xdr:col>
      <xdr:colOff>516193</xdr:colOff>
      <xdr:row>56</xdr:row>
      <xdr:rowOff>164123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196922</xdr:colOff>
      <xdr:row>9</xdr:row>
      <xdr:rowOff>35179</xdr:rowOff>
    </xdr:from>
    <xdr:to>
      <xdr:col>3</xdr:col>
      <xdr:colOff>727754</xdr:colOff>
      <xdr:row>39</xdr:row>
      <xdr:rowOff>163871</xdr:rowOff>
    </xdr:to>
    <xdr:grpSp>
      <xdr:nvGrpSpPr>
        <xdr:cNvPr id="22" name="Grup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196922" y="2253944"/>
          <a:ext cx="4497154" cy="5843692"/>
          <a:chOff x="196922" y="2192752"/>
          <a:chExt cx="4546315" cy="5522625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aphicFramePr/>
        </xdr:nvGraphicFramePr>
        <xdr:xfrm>
          <a:off x="196922" y="2192752"/>
          <a:ext cx="4546315" cy="26869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222606" y="4998565"/>
          <a:ext cx="4512068" cy="27168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4</xdr:col>
      <xdr:colOff>138893</xdr:colOff>
      <xdr:row>9</xdr:row>
      <xdr:rowOff>33314</xdr:rowOff>
    </xdr:from>
    <xdr:to>
      <xdr:col>6</xdr:col>
      <xdr:colOff>507802</xdr:colOff>
      <xdr:row>24</xdr:row>
      <xdr:rowOff>16387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4834158" y="2252079"/>
          <a:ext cx="1131469" cy="2840573"/>
          <a:chOff x="4145538" y="2188217"/>
          <a:chExt cx="1843748" cy="247679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7" name="AÑO">
                <a:extLs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GraphicFramePr/>
            </xdr:nvGraphicFramePr>
            <xdr:xfrm>
              <a:off x="4161926" y="3869957"/>
              <a:ext cx="1827360" cy="795055"/>
            </xdr:xfrm>
            <a:graphic>
              <a:graphicData uri="http://schemas.microsoft.com/office/drawing/2010/slicer">
                <sle:slicer xmlns:sle="http://schemas.microsoft.com/office/drawing/2010/slicer" name="AÑ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260249" y="4012648"/>
                <a:ext cx="1827359" cy="86251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O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8" name="MES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GraphicFramePr/>
            </xdr:nvGraphicFramePr>
            <xdr:xfrm>
              <a:off x="4145538" y="2188217"/>
              <a:ext cx="1827360" cy="137066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243861" y="2188217"/>
                <a:ext cx="1827359" cy="148696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O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4</xdr:col>
      <xdr:colOff>124542</xdr:colOff>
      <xdr:row>24</xdr:row>
      <xdr:rowOff>148003</xdr:rowOff>
    </xdr:from>
    <xdr:to>
      <xdr:col>6</xdr:col>
      <xdr:colOff>482518</xdr:colOff>
      <xdr:row>39</xdr:row>
      <xdr:rowOff>163871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819807" y="5224268"/>
          <a:ext cx="1139586" cy="2873368"/>
          <a:chOff x="4131187" y="5006777"/>
          <a:chExt cx="1832815" cy="24941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9" name="MES 1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GraphicFramePr/>
            </xdr:nvGraphicFramePr>
            <xdr:xfrm>
              <a:off x="4131187" y="5006777"/>
              <a:ext cx="1826616" cy="1313455"/>
            </xdr:xfrm>
            <a:graphic>
              <a:graphicData uri="http://schemas.microsoft.com/office/drawing/2010/slicer">
                <sle:slicer xmlns:sle="http://schemas.microsoft.com/office/drawing/2010/slicer" name="MES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229510" y="5006777"/>
                <a:ext cx="1826615" cy="143225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O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0" name="AÑO 1">
                <a:extLst>
                  <a:ext uri="{FF2B5EF4-FFF2-40B4-BE49-F238E27FC236}">
                    <a16:creationId xmlns:a16="http://schemas.microsoft.com/office/drawing/2014/main" id="{00000000-0008-0000-0000-00000A000000}"/>
                  </a:ext>
                </a:extLst>
              </xdr:cNvPr>
              <xdr:cNvGraphicFramePr/>
            </xdr:nvGraphicFramePr>
            <xdr:xfrm>
              <a:off x="4137386" y="6604710"/>
              <a:ext cx="1826616" cy="896210"/>
            </xdr:xfrm>
            <a:graphic>
              <a:graphicData uri="http://schemas.microsoft.com/office/drawing/2010/slicer">
                <sle:slicer xmlns:sle="http://schemas.microsoft.com/office/drawing/2010/slicer" name="AÑ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235709" y="6749244"/>
                <a:ext cx="1826615" cy="977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O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450604</xdr:colOff>
      <xdr:row>44</xdr:row>
      <xdr:rowOff>144156</xdr:rowOff>
    </xdr:from>
    <xdr:to>
      <xdr:col>2</xdr:col>
      <xdr:colOff>823105</xdr:colOff>
      <xdr:row>58</xdr:row>
      <xdr:rowOff>16276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8829" y="8594650"/>
          <a:ext cx="2688701" cy="2389289"/>
        </a:xfrm>
        <a:prstGeom prst="rect">
          <a:avLst/>
        </a:prstGeom>
      </xdr:spPr>
    </xdr:pic>
    <xdr:clientData/>
  </xdr:twoCellAnchor>
  <xdr:twoCellAnchor editAs="oneCell">
    <xdr:from>
      <xdr:col>0</xdr:col>
      <xdr:colOff>214045</xdr:colOff>
      <xdr:row>64</xdr:row>
      <xdr:rowOff>51369</xdr:rowOff>
    </xdr:from>
    <xdr:to>
      <xdr:col>1</xdr:col>
      <xdr:colOff>2057360</xdr:colOff>
      <xdr:row>71</xdr:row>
      <xdr:rowOff>17959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5055"/>
        <a:stretch/>
      </xdr:blipFill>
      <xdr:spPr>
        <a:xfrm>
          <a:off x="214045" y="12097818"/>
          <a:ext cx="2151540" cy="12765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5821</xdr:colOff>
          <xdr:row>0</xdr:row>
          <xdr:rowOff>137160</xdr:rowOff>
        </xdr:from>
        <xdr:to>
          <xdr:col>15</xdr:col>
          <xdr:colOff>930755</xdr:colOff>
          <xdr:row>1</xdr:row>
          <xdr:rowOff>80907</xdr:rowOff>
        </xdr:to>
        <xdr:grpSp>
          <xdr:nvGrpSpPr>
            <xdr:cNvPr id="15" name="Grupo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pSpPr/>
          </xdr:nvGrpSpPr>
          <xdr:grpSpPr>
            <a:xfrm>
              <a:off x="4701086" y="137160"/>
              <a:ext cx="5068869" cy="403188"/>
              <a:chOff x="4166854" y="120030"/>
              <a:chExt cx="8716170" cy="397526"/>
            </a:xfrm>
          </xdr:grpSpPr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1566563" y="132364"/>
                <a:ext cx="1316461" cy="38519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s-CO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Configuracion</a:t>
                </a:r>
              </a:p>
            </xdr:txBody>
          </xdr:sp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095556" y="125088"/>
                <a:ext cx="1316461" cy="387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s-CO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Emitir Reporte PDF</a:t>
                </a:r>
              </a:p>
            </xdr:txBody>
          </xdr:sp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7132234" y="120030"/>
                <a:ext cx="1316461" cy="38518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s-CO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Ingresos_Gastos</a:t>
                </a:r>
              </a:p>
            </xdr:txBody>
          </xdr:sp>
          <xdr:sp macro="" textlink="">
            <xdr:nvSpPr>
              <xdr:cNvPr id="1033" name="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4166854" y="128598"/>
                <a:ext cx="1317600" cy="3851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s-CO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Ajustar</a:t>
                </a:r>
              </a:p>
            </xdr:txBody>
          </xdr:sp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5662602" y="129540"/>
                <a:ext cx="1316377" cy="3851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s-CO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Presupuesto</a:t>
                </a:r>
              </a:p>
            </xdr:txBody>
          </xdr:sp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8616250" y="120978"/>
                <a:ext cx="1313466" cy="3911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s-CO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Ahorro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241014</xdr:rowOff>
        </xdr:from>
        <xdr:to>
          <xdr:col>18</xdr:col>
          <xdr:colOff>556260</xdr:colOff>
          <xdr:row>7</xdr:row>
          <xdr:rowOff>126714</xdr:rowOff>
        </xdr:to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GrpSpPr/>
          </xdr:nvGrpSpPr>
          <xdr:grpSpPr>
            <a:xfrm>
              <a:off x="10038229" y="241014"/>
              <a:ext cx="1477384" cy="1723465"/>
              <a:chOff x="14350863" y="241014"/>
              <a:chExt cx="1522459" cy="1683678"/>
            </a:xfrm>
          </xdr:grpSpPr>
          <xdr:sp macro="" textlink="">
            <xdr:nvSpPr>
              <xdr:cNvPr id="1036" name="Group Box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14350863" y="241014"/>
                <a:ext cx="1522459" cy="1683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s-C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Navegacion DashBoard</a:t>
                </a:r>
              </a:p>
            </xdr:txBody>
          </xdr:sp>
          <xdr:sp macro="" textlink="">
            <xdr:nvSpPr>
              <xdr:cNvPr id="1037" name="Dash1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14492631" y="522355"/>
                <a:ext cx="279669" cy="2995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9" name="Dash2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14485704" y="1303839"/>
                <a:ext cx="277383" cy="29101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2" name="CommandButton4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000-000012040000}"/>
                  </a:ext>
                </a:extLst>
              </xdr:cNvPr>
              <xdr:cNvSpPr/>
            </xdr:nvSpPr>
            <xdr:spPr bwMode="auto">
              <a:xfrm>
                <a:off x="14863238" y="539564"/>
                <a:ext cx="872183" cy="29093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3" name="CommandButton5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14847431" y="1310136"/>
                <a:ext cx="872183" cy="2833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PrintsWithSheet="0"/>
      </xdr:twoCellAnchor>
    </mc:Choice>
    <mc:Fallback/>
  </mc:AlternateContent>
  <xdr:twoCellAnchor>
    <xdr:from>
      <xdr:col>2</xdr:col>
      <xdr:colOff>1459785</xdr:colOff>
      <xdr:row>73</xdr:row>
      <xdr:rowOff>6850</xdr:rowOff>
    </xdr:from>
    <xdr:to>
      <xdr:col>15</xdr:col>
      <xdr:colOff>423808</xdr:colOff>
      <xdr:row>88</xdr:row>
      <xdr:rowOff>10274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4003520" y="14462438"/>
          <a:ext cx="5754788" cy="2883336"/>
          <a:chOff x="3994078" y="13500243"/>
          <a:chExt cx="9400854" cy="2751761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aphicFramePr/>
        </xdr:nvGraphicFramePr>
        <xdr:xfrm>
          <a:off x="3994078" y="13500243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7" name="Gráfico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8822932" y="13508804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1357044</xdr:colOff>
      <xdr:row>97</xdr:row>
      <xdr:rowOff>49658</xdr:rowOff>
    </xdr:from>
    <xdr:to>
      <xdr:col>15</xdr:col>
      <xdr:colOff>329629</xdr:colOff>
      <xdr:row>112</xdr:row>
      <xdr:rowOff>104453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3900779" y="19200511"/>
          <a:ext cx="5763350" cy="2912295"/>
          <a:chOff x="3951269" y="18029434"/>
          <a:chExt cx="9477910" cy="2751761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aphicFramePr/>
        </xdr:nvGraphicFramePr>
        <xdr:xfrm>
          <a:off x="3951269" y="18037995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1" name="Gráfico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GraphicFramePr/>
        </xdr:nvGraphicFramePr>
        <xdr:xfrm>
          <a:off x="8874303" y="18029434"/>
          <a:ext cx="4554876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162674</xdr:colOff>
          <xdr:row>64</xdr:row>
          <xdr:rowOff>136989</xdr:rowOff>
        </xdr:from>
        <xdr:to>
          <xdr:col>18</xdr:col>
          <xdr:colOff>452234</xdr:colOff>
          <xdr:row>73</xdr:row>
          <xdr:rowOff>151116</xdr:rowOff>
        </xdr:to>
        <xdr:grpSp>
          <xdr:nvGrpSpPr>
            <xdr:cNvPr id="24" name="Grupo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GrpSpPr/>
          </xdr:nvGrpSpPr>
          <xdr:grpSpPr>
            <a:xfrm>
              <a:off x="9934203" y="12833254"/>
              <a:ext cx="1477384" cy="1773450"/>
              <a:chOff x="14350870" y="241014"/>
              <a:chExt cx="1522458" cy="1683679"/>
            </a:xfrm>
          </xdr:grpSpPr>
          <xdr:sp macro="" textlink="">
            <xdr:nvSpPr>
              <xdr:cNvPr id="1057" name="Group Box 33" hidden="1">
                <a:extLst>
                  <a:ext uri="{63B3BB69-23CF-44E3-9099-C40C66FF867C}">
                    <a14:compatExt spid="_x0000_s1057"/>
                  </a:ext>
                  <a:ext uri="{FF2B5EF4-FFF2-40B4-BE49-F238E27FC236}">
                    <a16:creationId xmlns:a16="http://schemas.microsoft.com/office/drawing/2014/main" id="{00000000-0008-0000-0000-000021040000}"/>
                  </a:ext>
                </a:extLst>
              </xdr:cNvPr>
              <xdr:cNvSpPr/>
            </xdr:nvSpPr>
            <xdr:spPr bwMode="auto">
              <a:xfrm>
                <a:off x="14350870" y="241014"/>
                <a:ext cx="1522458" cy="168367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s-C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Navegacion DashBoard</a:t>
                </a:r>
              </a:p>
            </xdr:txBody>
          </xdr:sp>
          <xdr:sp macro="" textlink="">
            <xdr:nvSpPr>
              <xdr:cNvPr id="1058" name="CommandButton1" hidden="1">
                <a:extLst>
                  <a:ext uri="{63B3BB69-23CF-44E3-9099-C40C66FF867C}">
                    <a14:compatExt spid="_x0000_s1058"/>
                  </a:ext>
                  <a:ext uri="{FF2B5EF4-FFF2-40B4-BE49-F238E27FC236}">
                    <a16:creationId xmlns:a16="http://schemas.microsoft.com/office/drawing/2014/main" id="{00000000-0008-0000-0000-000022040000}"/>
                  </a:ext>
                </a:extLst>
              </xdr:cNvPr>
              <xdr:cNvSpPr/>
            </xdr:nvSpPr>
            <xdr:spPr bwMode="auto">
              <a:xfrm>
                <a:off x="14492631" y="522355"/>
                <a:ext cx="279669" cy="2995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9" name="CommandButton2" hidden="1">
                <a:extLst>
                  <a:ext uri="{63B3BB69-23CF-44E3-9099-C40C66FF867C}">
                    <a14:compatExt spid="_x0000_s1059"/>
                  </a:ext>
                  <a:ext uri="{FF2B5EF4-FFF2-40B4-BE49-F238E27FC236}">
                    <a16:creationId xmlns:a16="http://schemas.microsoft.com/office/drawing/2014/main" id="{00000000-0008-0000-0000-000023040000}"/>
                  </a:ext>
                </a:extLst>
              </xdr:cNvPr>
              <xdr:cNvSpPr/>
            </xdr:nvSpPr>
            <xdr:spPr bwMode="auto">
              <a:xfrm>
                <a:off x="14485705" y="1278551"/>
                <a:ext cx="277383" cy="29101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62" name="CommandButton9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00000000-0008-0000-0000-000026040000}"/>
                  </a:ext>
                </a:extLst>
              </xdr:cNvPr>
              <xdr:cNvSpPr/>
            </xdr:nvSpPr>
            <xdr:spPr bwMode="auto">
              <a:xfrm>
                <a:off x="14863239" y="539564"/>
                <a:ext cx="872183" cy="29093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63" name="CommandButton10" hidden="1">
                <a:extLst>
                  <a:ext uri="{63B3BB69-23CF-44E3-9099-C40C66FF867C}">
                    <a14:compatExt spid="_x0000_s1063"/>
                  </a:ext>
                  <a:ext uri="{FF2B5EF4-FFF2-40B4-BE49-F238E27FC236}">
                    <a16:creationId xmlns:a16="http://schemas.microsoft.com/office/drawing/2014/main" id="{00000000-0008-0000-0000-000027040000}"/>
                  </a:ext>
                </a:extLst>
              </xdr:cNvPr>
              <xdr:cNvSpPr/>
            </xdr:nvSpPr>
            <xdr:spPr bwMode="auto">
              <a:xfrm>
                <a:off x="14865524" y="1293790"/>
                <a:ext cx="872183" cy="2833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PrintsWithSheet="0"/>
      </xdr:twoCellAnchor>
    </mc:Choice>
    <mc:Fallback/>
  </mc:AlternateContent>
  <xdr:twoCellAnchor editAs="oneCell">
    <xdr:from>
      <xdr:col>0</xdr:col>
      <xdr:colOff>0</xdr:colOff>
      <xdr:row>107</xdr:row>
      <xdr:rowOff>154113</xdr:rowOff>
    </xdr:from>
    <xdr:to>
      <xdr:col>2</xdr:col>
      <xdr:colOff>789335</xdr:colOff>
      <xdr:row>112</xdr:row>
      <xdr:rowOff>169524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163034"/>
          <a:ext cx="341376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37375</xdr:colOff>
          <xdr:row>62</xdr:row>
          <xdr:rowOff>160358</xdr:rowOff>
        </xdr:from>
        <xdr:to>
          <xdr:col>16</xdr:col>
          <xdr:colOff>5158</xdr:colOff>
          <xdr:row>64</xdr:row>
          <xdr:rowOff>176739</xdr:rowOff>
        </xdr:to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GrpSpPr/>
          </xdr:nvGrpSpPr>
          <xdr:grpSpPr>
            <a:xfrm>
              <a:off x="2581110" y="12475623"/>
              <a:ext cx="7195577" cy="397381"/>
              <a:chOff x="2472475" y="11849446"/>
              <a:chExt cx="10755762" cy="398849"/>
            </a:xfrm>
          </xdr:grpSpPr>
          <xdr:grpSp>
            <xdr:nvGrpSpPr>
              <xdr:cNvPr id="25" name="Grupo 24">
                <a:extLst>
                  <a:ext uri="{FF2B5EF4-FFF2-40B4-BE49-F238E27FC236}">
                    <a16:creationId xmlns:a16="http://schemas.microsoft.com/office/drawing/2014/main" id="{00000000-0008-0000-0000-000019000000}"/>
                  </a:ext>
                </a:extLst>
              </xdr:cNvPr>
              <xdr:cNvGrpSpPr/>
            </xdr:nvGrpSpPr>
            <xdr:grpSpPr>
              <a:xfrm>
                <a:off x="4032608" y="11849446"/>
                <a:ext cx="9195629" cy="397607"/>
                <a:chOff x="4166856" y="119954"/>
                <a:chExt cx="8716169" cy="397607"/>
              </a:xfrm>
            </xdr:grpSpPr>
            <xdr:sp macro="" textlink="">
              <xdr:nvSpPr>
                <xdr:cNvPr id="1066" name="Button 42" hidden="1">
                  <a:extLst>
                    <a:ext uri="{63B3BB69-23CF-44E3-9099-C40C66FF867C}">
                      <a14:compatExt spid="_x0000_s1066"/>
                    </a:ext>
                    <a:ext uri="{FF2B5EF4-FFF2-40B4-BE49-F238E27FC236}">
                      <a16:creationId xmlns:a16="http://schemas.microsoft.com/office/drawing/2014/main" id="{00000000-0008-0000-0000-00002A040000}"/>
                    </a:ext>
                  </a:extLst>
                </xdr:cNvPr>
                <xdr:cNvSpPr/>
              </xdr:nvSpPr>
              <xdr:spPr bwMode="auto">
                <a:xfrm>
                  <a:off x="11566563" y="132365"/>
                  <a:ext cx="1316462" cy="38519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18288" rIns="27432" bIns="18288" anchor="ctr" upright="1"/>
                <a:lstStyle/>
                <a:p>
                  <a:pPr algn="ctr" rtl="0">
                    <a:defRPr sz="1000"/>
                  </a:pPr>
                  <a:r>
                    <a:rPr lang="es-CO"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Configuracion</a:t>
                  </a:r>
                </a:p>
              </xdr:txBody>
            </xdr:sp>
            <xdr:sp macro="" textlink="">
              <xdr:nvSpPr>
                <xdr:cNvPr id="1067" name="Button 43" hidden="1">
                  <a:extLst>
                    <a:ext uri="{63B3BB69-23CF-44E3-9099-C40C66FF867C}">
                      <a14:compatExt spid="_x0000_s1067"/>
                    </a:ext>
                    <a:ext uri="{FF2B5EF4-FFF2-40B4-BE49-F238E27FC236}">
                      <a16:creationId xmlns:a16="http://schemas.microsoft.com/office/drawing/2014/main" id="{00000000-0008-0000-0000-00002B040000}"/>
                    </a:ext>
                  </a:extLst>
                </xdr:cNvPr>
                <xdr:cNvSpPr/>
              </xdr:nvSpPr>
              <xdr:spPr bwMode="auto">
                <a:xfrm>
                  <a:off x="10095558" y="125088"/>
                  <a:ext cx="1316462" cy="38767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18288" rIns="27432" bIns="18288" anchor="ctr" upright="1"/>
                <a:lstStyle/>
                <a:p>
                  <a:pPr algn="ctr" rtl="0">
                    <a:defRPr sz="1000"/>
                  </a:pPr>
                  <a:r>
                    <a:rPr lang="es-CO"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Emitir Reporte PDF</a:t>
                  </a:r>
                </a:p>
              </xdr:txBody>
            </xdr:sp>
            <xdr:sp macro="" textlink="">
              <xdr:nvSpPr>
                <xdr:cNvPr id="1068" name="Button 44" hidden="1">
                  <a:extLst>
                    <a:ext uri="{63B3BB69-23CF-44E3-9099-C40C66FF867C}">
                      <a14:compatExt spid="_x0000_s1068"/>
                    </a:ext>
                    <a:ext uri="{FF2B5EF4-FFF2-40B4-BE49-F238E27FC236}">
                      <a16:creationId xmlns:a16="http://schemas.microsoft.com/office/drawing/2014/main" id="{00000000-0008-0000-0000-00002C040000}"/>
                    </a:ext>
                  </a:extLst>
                </xdr:cNvPr>
                <xdr:cNvSpPr/>
              </xdr:nvSpPr>
              <xdr:spPr bwMode="auto">
                <a:xfrm>
                  <a:off x="7132234" y="119954"/>
                  <a:ext cx="1316462" cy="385192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18288" rIns="27432" bIns="18288" anchor="ctr" upright="1"/>
                <a:lstStyle/>
                <a:p>
                  <a:pPr algn="ctr" rtl="0">
                    <a:defRPr sz="1000"/>
                  </a:pPr>
                  <a:r>
                    <a:rPr lang="es-CO"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Ingresos_Gastos</a:t>
                  </a:r>
                </a:p>
              </xdr:txBody>
            </xdr:sp>
            <xdr:sp macro="" textlink="">
              <xdr:nvSpPr>
                <xdr:cNvPr id="1069" name="Button 45" hidden="1">
                  <a:extLst>
                    <a:ext uri="{63B3BB69-23CF-44E3-9099-C40C66FF867C}">
                      <a14:compatExt spid="_x0000_s1069"/>
                    </a:ext>
                    <a:ext uri="{FF2B5EF4-FFF2-40B4-BE49-F238E27FC236}">
                      <a16:creationId xmlns:a16="http://schemas.microsoft.com/office/drawing/2014/main" id="{00000000-0008-0000-0000-00002D040000}"/>
                    </a:ext>
                  </a:extLst>
                </xdr:cNvPr>
                <xdr:cNvSpPr/>
              </xdr:nvSpPr>
              <xdr:spPr bwMode="auto">
                <a:xfrm>
                  <a:off x="4166856" y="128597"/>
                  <a:ext cx="1317600" cy="38519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18288" rIns="27432" bIns="18288" anchor="ctr" upright="1"/>
                <a:lstStyle/>
                <a:p>
                  <a:pPr algn="ctr" rtl="0">
                    <a:defRPr sz="1000"/>
                  </a:pPr>
                  <a:r>
                    <a:rPr lang="es-CO"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Ajustar</a:t>
                  </a:r>
                </a:p>
              </xdr:txBody>
            </xdr:sp>
            <xdr:sp macro="" textlink="">
              <xdr:nvSpPr>
                <xdr:cNvPr id="1070" name="Button 46" hidden="1">
                  <a:extLst>
                    <a:ext uri="{63B3BB69-23CF-44E3-9099-C40C66FF867C}">
                      <a14:compatExt spid="_x0000_s1070"/>
                    </a:ext>
                    <a:ext uri="{FF2B5EF4-FFF2-40B4-BE49-F238E27FC236}">
                      <a16:creationId xmlns:a16="http://schemas.microsoft.com/office/drawing/2014/main" id="{00000000-0008-0000-0000-00002E040000}"/>
                    </a:ext>
                  </a:extLst>
                </xdr:cNvPr>
                <xdr:cNvSpPr/>
              </xdr:nvSpPr>
              <xdr:spPr bwMode="auto">
                <a:xfrm>
                  <a:off x="5662602" y="129540"/>
                  <a:ext cx="1316377" cy="38519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18288" rIns="27432" bIns="18288" anchor="ctr" upright="1"/>
                <a:lstStyle/>
                <a:p>
                  <a:pPr algn="ctr" rtl="0">
                    <a:defRPr sz="1000"/>
                  </a:pPr>
                  <a:r>
                    <a:rPr lang="es-CO"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Presupuesto</a:t>
                  </a:r>
                </a:p>
              </xdr:txBody>
            </xdr:sp>
            <xdr:sp macro="" textlink="">
              <xdr:nvSpPr>
                <xdr:cNvPr id="1071" name="Button 47" hidden="1">
                  <a:extLst>
                    <a:ext uri="{63B3BB69-23CF-44E3-9099-C40C66FF867C}">
                      <a14:compatExt spid="_x0000_s1071"/>
                    </a:ext>
                    <a:ext uri="{FF2B5EF4-FFF2-40B4-BE49-F238E27FC236}">
                      <a16:creationId xmlns:a16="http://schemas.microsoft.com/office/drawing/2014/main" id="{00000000-0008-0000-0000-00002F040000}"/>
                    </a:ext>
                  </a:extLst>
                </xdr:cNvPr>
                <xdr:cNvSpPr/>
              </xdr:nvSpPr>
              <xdr:spPr bwMode="auto">
                <a:xfrm>
                  <a:off x="8616251" y="120978"/>
                  <a:ext cx="1313466" cy="39110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18288" rIns="27432" bIns="18288" anchor="ctr" upright="1"/>
                <a:lstStyle/>
                <a:p>
                  <a:pPr algn="ctr" rtl="0">
                    <a:defRPr sz="1000"/>
                  </a:pPr>
                  <a:r>
                    <a:rPr lang="es-CO"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Ahorro</a:t>
                  </a:r>
                </a:p>
              </xdr:txBody>
            </xdr:sp>
          </xdr:grpSp>
          <xdr:sp macro="" textlink="">
            <xdr:nvSpPr>
              <xdr:cNvPr id="1072" name="Button 48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000-000030040000}"/>
                  </a:ext>
                </a:extLst>
              </xdr:cNvPr>
              <xdr:cNvSpPr/>
            </xdr:nvSpPr>
            <xdr:spPr bwMode="auto">
              <a:xfrm>
                <a:off x="2472475" y="11865840"/>
                <a:ext cx="1394460" cy="38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s-CO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Ajustar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250287</xdr:colOff>
      <xdr:row>35</xdr:row>
      <xdr:rowOff>97211</xdr:rowOff>
    </xdr:from>
    <xdr:to>
      <xdr:col>2</xdr:col>
      <xdr:colOff>471267</xdr:colOff>
      <xdr:row>46</xdr:row>
      <xdr:rowOff>47505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Complement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Complement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346018</xdr:colOff>
          <xdr:row>7</xdr:row>
          <xdr:rowOff>169718</xdr:rowOff>
        </xdr:from>
        <xdr:to>
          <xdr:col>4</xdr:col>
          <xdr:colOff>17319</xdr:colOff>
          <xdr:row>22</xdr:row>
          <xdr:rowOff>44912</xdr:rowOff>
        </xdr:to>
        <xdr:grpSp>
          <xdr:nvGrpSpPr>
            <xdr:cNvPr id="4" name="Grupo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3181106" y="1592865"/>
              <a:ext cx="276419" cy="2743900"/>
              <a:chOff x="5227320" y="1272539"/>
              <a:chExt cx="239908" cy="2618377"/>
            </a:xfrm>
          </xdr:grpSpPr>
          <xdr:sp macro="" textlink="">
            <xdr:nvSpPr>
              <xdr:cNvPr id="3073" name="Check Box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100-0000010C0000}"/>
                  </a:ext>
                </a:extLst>
              </xdr:cNvPr>
              <xdr:cNvSpPr/>
            </xdr:nvSpPr>
            <xdr:spPr bwMode="auto">
              <a:xfrm>
                <a:off x="5227320" y="1272539"/>
                <a:ext cx="20574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76" name="Check Box 4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100-0000040C0000}"/>
                  </a:ext>
                </a:extLst>
              </xdr:cNvPr>
              <xdr:cNvSpPr/>
            </xdr:nvSpPr>
            <xdr:spPr bwMode="auto">
              <a:xfrm>
                <a:off x="5227320" y="1455420"/>
                <a:ext cx="20574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78" name="Check Box 6" hidden="1">
                <a:extLst>
                  <a:ext uri="{63B3BB69-23CF-44E3-9099-C40C66FF867C}">
                    <a14:compatExt spid="_x0000_s3078"/>
                  </a:ext>
                  <a:ext uri="{FF2B5EF4-FFF2-40B4-BE49-F238E27FC236}">
                    <a16:creationId xmlns:a16="http://schemas.microsoft.com/office/drawing/2014/main" id="{00000000-0008-0000-0100-0000060C0000}"/>
                  </a:ext>
                </a:extLst>
              </xdr:cNvPr>
              <xdr:cNvSpPr/>
            </xdr:nvSpPr>
            <xdr:spPr bwMode="auto">
              <a:xfrm>
                <a:off x="5231246" y="1635396"/>
                <a:ext cx="20574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79" name="Check Box 7" hidden="1">
                <a:extLst>
                  <a:ext uri="{63B3BB69-23CF-44E3-9099-C40C66FF867C}">
                    <a14:compatExt spid="_x0000_s3079"/>
                  </a:ext>
                  <a:ext uri="{FF2B5EF4-FFF2-40B4-BE49-F238E27FC236}">
                    <a16:creationId xmlns:a16="http://schemas.microsoft.com/office/drawing/2014/main" id="{00000000-0008-0000-0100-0000070C0000}"/>
                  </a:ext>
                </a:extLst>
              </xdr:cNvPr>
              <xdr:cNvSpPr/>
            </xdr:nvSpPr>
            <xdr:spPr bwMode="auto">
              <a:xfrm>
                <a:off x="5233093" y="1825895"/>
                <a:ext cx="20574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0" name="Check Box 8" hidden="1">
                <a:extLst>
                  <a:ext uri="{63B3BB69-23CF-44E3-9099-C40C66FF867C}">
                    <a14:compatExt spid="_x0000_s3080"/>
                  </a:ext>
                  <a:ext uri="{FF2B5EF4-FFF2-40B4-BE49-F238E27FC236}">
                    <a16:creationId xmlns:a16="http://schemas.microsoft.com/office/drawing/2014/main" id="{00000000-0008-0000-0100-0000080C0000}"/>
                  </a:ext>
                </a:extLst>
              </xdr:cNvPr>
              <xdr:cNvSpPr/>
            </xdr:nvSpPr>
            <xdr:spPr bwMode="auto">
              <a:xfrm>
                <a:off x="5234940" y="2011680"/>
                <a:ext cx="20574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1" name="Check Box 9" hidden="1">
                <a:extLst>
                  <a:ext uri="{63B3BB69-23CF-44E3-9099-C40C66FF867C}">
                    <a14:compatExt spid="_x0000_s3081"/>
                  </a:ext>
                  <a:ext uri="{FF2B5EF4-FFF2-40B4-BE49-F238E27FC236}">
                    <a16:creationId xmlns:a16="http://schemas.microsoft.com/office/drawing/2014/main" id="{00000000-0008-0000-0100-0000090C0000}"/>
                  </a:ext>
                </a:extLst>
              </xdr:cNvPr>
              <xdr:cNvSpPr/>
            </xdr:nvSpPr>
            <xdr:spPr bwMode="auto">
              <a:xfrm>
                <a:off x="5234940" y="2186940"/>
                <a:ext cx="20574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2" name="Check Box 10" hidden="1">
                <a:extLst>
                  <a:ext uri="{63B3BB69-23CF-44E3-9099-C40C66FF867C}">
                    <a14:compatExt spid="_x0000_s3082"/>
                  </a:ext>
                  <a:ext uri="{FF2B5EF4-FFF2-40B4-BE49-F238E27FC236}">
                    <a16:creationId xmlns:a16="http://schemas.microsoft.com/office/drawing/2014/main" id="{00000000-0008-0000-0100-00000A0C0000}"/>
                  </a:ext>
                </a:extLst>
              </xdr:cNvPr>
              <xdr:cNvSpPr/>
            </xdr:nvSpPr>
            <xdr:spPr bwMode="auto">
              <a:xfrm>
                <a:off x="5237826" y="2368729"/>
                <a:ext cx="20574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3" name="Check Box 11" hidden="1">
                <a:extLst>
                  <a:ext uri="{63B3BB69-23CF-44E3-9099-C40C66FF867C}">
                    <a14:compatExt spid="_x0000_s3083"/>
                  </a:ext>
                  <a:ext uri="{FF2B5EF4-FFF2-40B4-BE49-F238E27FC236}">
                    <a16:creationId xmlns:a16="http://schemas.microsoft.com/office/drawing/2014/main" id="{00000000-0008-0000-0100-00000B0C0000}"/>
                  </a:ext>
                </a:extLst>
              </xdr:cNvPr>
              <xdr:cNvSpPr/>
            </xdr:nvSpPr>
            <xdr:spPr bwMode="auto">
              <a:xfrm>
                <a:off x="5242560" y="2552700"/>
                <a:ext cx="20574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4" name="Check Box 12" hidden="1">
                <a:extLst>
                  <a:ext uri="{63B3BB69-23CF-44E3-9099-C40C66FF867C}">
                    <a14:compatExt spid="_x0000_s3084"/>
                  </a:ext>
                  <a:ext uri="{FF2B5EF4-FFF2-40B4-BE49-F238E27FC236}">
                    <a16:creationId xmlns:a16="http://schemas.microsoft.com/office/drawing/2014/main" id="{00000000-0008-0000-0100-00000C0C0000}"/>
                  </a:ext>
                </a:extLst>
              </xdr:cNvPr>
              <xdr:cNvSpPr/>
            </xdr:nvSpPr>
            <xdr:spPr bwMode="auto">
              <a:xfrm>
                <a:off x="5247293" y="2743200"/>
                <a:ext cx="20574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5" name="Check Box 13" hidden="1">
                <a:extLst>
                  <a:ext uri="{63B3BB69-23CF-44E3-9099-C40C66FF867C}">
                    <a14:compatExt spid="_x0000_s3085"/>
                  </a:ext>
                  <a:ext uri="{FF2B5EF4-FFF2-40B4-BE49-F238E27FC236}">
                    <a16:creationId xmlns:a16="http://schemas.microsoft.com/office/drawing/2014/main" id="{00000000-0008-0000-0100-00000D0C0000}"/>
                  </a:ext>
                </a:extLst>
              </xdr:cNvPr>
              <xdr:cNvSpPr/>
            </xdr:nvSpPr>
            <xdr:spPr bwMode="auto">
              <a:xfrm>
                <a:off x="5247293" y="2918460"/>
                <a:ext cx="20574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6" name="Check Box 14" hidden="1">
                <a:extLst>
                  <a:ext uri="{63B3BB69-23CF-44E3-9099-C40C66FF867C}">
                    <a14:compatExt spid="_x0000_s3086"/>
                  </a:ext>
                  <a:ext uri="{FF2B5EF4-FFF2-40B4-BE49-F238E27FC236}">
                    <a16:creationId xmlns:a16="http://schemas.microsoft.com/office/drawing/2014/main" id="{00000000-0008-0000-0100-00000E0C0000}"/>
                  </a:ext>
                </a:extLst>
              </xdr:cNvPr>
              <xdr:cNvSpPr/>
            </xdr:nvSpPr>
            <xdr:spPr bwMode="auto">
              <a:xfrm>
                <a:off x="5250181" y="3101340"/>
                <a:ext cx="20574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7" name="Check Box 15" hidden="1">
                <a:extLst>
                  <a:ext uri="{63B3BB69-23CF-44E3-9099-C40C66FF867C}">
                    <a14:compatExt spid="_x0000_s3087"/>
                  </a:ext>
                  <a:ext uri="{FF2B5EF4-FFF2-40B4-BE49-F238E27FC236}">
                    <a16:creationId xmlns:a16="http://schemas.microsoft.com/office/drawing/2014/main" id="{00000000-0008-0000-0100-00000F0C0000}"/>
                  </a:ext>
                </a:extLst>
              </xdr:cNvPr>
              <xdr:cNvSpPr/>
            </xdr:nvSpPr>
            <xdr:spPr bwMode="auto">
              <a:xfrm>
                <a:off x="5250181" y="3291840"/>
                <a:ext cx="20574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8" name="Check Box 16" hidden="1">
                <a:extLst>
                  <a:ext uri="{63B3BB69-23CF-44E3-9099-C40C66FF867C}">
                    <a14:compatExt spid="_x0000_s3088"/>
                  </a:ext>
                  <a:ext uri="{FF2B5EF4-FFF2-40B4-BE49-F238E27FC236}">
                    <a16:creationId xmlns:a16="http://schemas.microsoft.com/office/drawing/2014/main" id="{00000000-0008-0000-0100-0000100C0000}"/>
                  </a:ext>
                </a:extLst>
              </xdr:cNvPr>
              <xdr:cNvSpPr/>
            </xdr:nvSpPr>
            <xdr:spPr bwMode="auto">
              <a:xfrm>
                <a:off x="5257800" y="3471816"/>
                <a:ext cx="20574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9" name="Check Box 17" hidden="1">
                <a:extLst>
                  <a:ext uri="{63B3BB69-23CF-44E3-9099-C40C66FF867C}">
                    <a14:compatExt spid="_x0000_s3089"/>
                  </a:ext>
                  <a:ext uri="{FF2B5EF4-FFF2-40B4-BE49-F238E27FC236}">
                    <a16:creationId xmlns:a16="http://schemas.microsoft.com/office/drawing/2014/main" id="{00000000-0008-0000-0100-0000110C0000}"/>
                  </a:ext>
                </a:extLst>
              </xdr:cNvPr>
              <xdr:cNvSpPr/>
            </xdr:nvSpPr>
            <xdr:spPr bwMode="auto">
              <a:xfrm>
                <a:off x="5261489" y="3662316"/>
                <a:ext cx="205739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53545</xdr:colOff>
          <xdr:row>7</xdr:row>
          <xdr:rowOff>161454</xdr:rowOff>
        </xdr:from>
        <xdr:to>
          <xdr:col>10</xdr:col>
          <xdr:colOff>293459</xdr:colOff>
          <xdr:row>22</xdr:row>
          <xdr:rowOff>36648</xdr:rowOff>
        </xdr:to>
        <xdr:grpSp>
          <xdr:nvGrpSpPr>
            <xdr:cNvPr id="5" name="Grup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pSpPr/>
          </xdr:nvGrpSpPr>
          <xdr:grpSpPr>
            <a:xfrm>
              <a:off x="9141516" y="1584601"/>
              <a:ext cx="239914" cy="2743900"/>
              <a:chOff x="5227320" y="1272539"/>
              <a:chExt cx="239914" cy="2618377"/>
            </a:xfrm>
          </xdr:grpSpPr>
          <xdr:sp macro="" textlink="">
            <xdr:nvSpPr>
              <xdr:cNvPr id="3090" name="Check Box 18" hidden="1">
                <a:extLst>
                  <a:ext uri="{63B3BB69-23CF-44E3-9099-C40C66FF867C}">
                    <a14:compatExt spid="_x0000_s3090"/>
                  </a:ext>
                  <a:ext uri="{FF2B5EF4-FFF2-40B4-BE49-F238E27FC236}">
                    <a16:creationId xmlns:a16="http://schemas.microsoft.com/office/drawing/2014/main" id="{00000000-0008-0000-0100-0000120C0000}"/>
                  </a:ext>
                </a:extLst>
              </xdr:cNvPr>
              <xdr:cNvSpPr/>
            </xdr:nvSpPr>
            <xdr:spPr bwMode="auto">
              <a:xfrm>
                <a:off x="5227320" y="1272539"/>
                <a:ext cx="2057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 Box 19" hidden="1">
                <a:extLst>
                  <a:ext uri="{63B3BB69-23CF-44E3-9099-C40C66FF867C}">
                    <a14:compatExt spid="_x0000_s3091"/>
                  </a:ext>
                  <a:ext uri="{FF2B5EF4-FFF2-40B4-BE49-F238E27FC236}">
                    <a16:creationId xmlns:a16="http://schemas.microsoft.com/office/drawing/2014/main" id="{00000000-0008-0000-0100-0000130C0000}"/>
                  </a:ext>
                </a:extLst>
              </xdr:cNvPr>
              <xdr:cNvSpPr/>
            </xdr:nvSpPr>
            <xdr:spPr bwMode="auto">
              <a:xfrm>
                <a:off x="5227320" y="1455420"/>
                <a:ext cx="2057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 Box 20" hidden="1">
                <a:extLst>
                  <a:ext uri="{63B3BB69-23CF-44E3-9099-C40C66FF867C}">
                    <a14:compatExt spid="_x0000_s3092"/>
                  </a:ext>
                  <a:ext uri="{FF2B5EF4-FFF2-40B4-BE49-F238E27FC236}">
                    <a16:creationId xmlns:a16="http://schemas.microsoft.com/office/drawing/2014/main" id="{00000000-0008-0000-0100-0000140C0000}"/>
                  </a:ext>
                </a:extLst>
              </xdr:cNvPr>
              <xdr:cNvSpPr/>
            </xdr:nvSpPr>
            <xdr:spPr bwMode="auto">
              <a:xfrm>
                <a:off x="5231246" y="1635396"/>
                <a:ext cx="2057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 Box 21" hidden="1">
                <a:extLst>
                  <a:ext uri="{63B3BB69-23CF-44E3-9099-C40C66FF867C}">
                    <a14:compatExt spid="_x0000_s3093"/>
                  </a:ext>
                  <a:ext uri="{FF2B5EF4-FFF2-40B4-BE49-F238E27FC236}">
                    <a16:creationId xmlns:a16="http://schemas.microsoft.com/office/drawing/2014/main" id="{00000000-0008-0000-0100-0000150C0000}"/>
                  </a:ext>
                </a:extLst>
              </xdr:cNvPr>
              <xdr:cNvSpPr/>
            </xdr:nvSpPr>
            <xdr:spPr bwMode="auto">
              <a:xfrm>
                <a:off x="5233093" y="1825895"/>
                <a:ext cx="2057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4" name="Check Box 22" hidden="1">
                <a:extLst>
                  <a:ext uri="{63B3BB69-23CF-44E3-9099-C40C66FF867C}">
                    <a14:compatExt spid="_x0000_s3094"/>
                  </a:ext>
                  <a:ext uri="{FF2B5EF4-FFF2-40B4-BE49-F238E27FC236}">
                    <a16:creationId xmlns:a16="http://schemas.microsoft.com/office/drawing/2014/main" id="{00000000-0008-0000-0100-0000160C0000}"/>
                  </a:ext>
                </a:extLst>
              </xdr:cNvPr>
              <xdr:cNvSpPr/>
            </xdr:nvSpPr>
            <xdr:spPr bwMode="auto">
              <a:xfrm>
                <a:off x="5234940" y="2011680"/>
                <a:ext cx="2057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5" name="Check Box 23" hidden="1">
                <a:extLst>
                  <a:ext uri="{63B3BB69-23CF-44E3-9099-C40C66FF867C}">
                    <a14:compatExt spid="_x0000_s3095"/>
                  </a:ext>
                  <a:ext uri="{FF2B5EF4-FFF2-40B4-BE49-F238E27FC236}">
                    <a16:creationId xmlns:a16="http://schemas.microsoft.com/office/drawing/2014/main" id="{00000000-0008-0000-0100-0000170C0000}"/>
                  </a:ext>
                </a:extLst>
              </xdr:cNvPr>
              <xdr:cNvSpPr/>
            </xdr:nvSpPr>
            <xdr:spPr bwMode="auto">
              <a:xfrm>
                <a:off x="5234940" y="2186940"/>
                <a:ext cx="2057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6" name="Check Box 24" hidden="1">
                <a:extLst>
                  <a:ext uri="{63B3BB69-23CF-44E3-9099-C40C66FF867C}">
                    <a14:compatExt spid="_x0000_s3096"/>
                  </a:ext>
                  <a:ext uri="{FF2B5EF4-FFF2-40B4-BE49-F238E27FC236}">
                    <a16:creationId xmlns:a16="http://schemas.microsoft.com/office/drawing/2014/main" id="{00000000-0008-0000-0100-0000180C0000}"/>
                  </a:ext>
                </a:extLst>
              </xdr:cNvPr>
              <xdr:cNvSpPr/>
            </xdr:nvSpPr>
            <xdr:spPr bwMode="auto">
              <a:xfrm>
                <a:off x="5237826" y="2368729"/>
                <a:ext cx="2057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7" name="Check Box 25" hidden="1">
                <a:extLst>
                  <a:ext uri="{63B3BB69-23CF-44E3-9099-C40C66FF867C}">
                    <a14:compatExt spid="_x0000_s3097"/>
                  </a:ext>
                  <a:ext uri="{FF2B5EF4-FFF2-40B4-BE49-F238E27FC236}">
                    <a16:creationId xmlns:a16="http://schemas.microsoft.com/office/drawing/2014/main" id="{00000000-0008-0000-0100-0000190C0000}"/>
                  </a:ext>
                </a:extLst>
              </xdr:cNvPr>
              <xdr:cNvSpPr/>
            </xdr:nvSpPr>
            <xdr:spPr bwMode="auto">
              <a:xfrm>
                <a:off x="5242560" y="2552700"/>
                <a:ext cx="2057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8" name="Check Box 26" hidden="1">
                <a:extLst>
                  <a:ext uri="{63B3BB69-23CF-44E3-9099-C40C66FF867C}">
                    <a14:compatExt spid="_x0000_s3098"/>
                  </a:ext>
                  <a:ext uri="{FF2B5EF4-FFF2-40B4-BE49-F238E27FC236}">
                    <a16:creationId xmlns:a16="http://schemas.microsoft.com/office/drawing/2014/main" id="{00000000-0008-0000-0100-00001A0C0000}"/>
                  </a:ext>
                </a:extLst>
              </xdr:cNvPr>
              <xdr:cNvSpPr/>
            </xdr:nvSpPr>
            <xdr:spPr bwMode="auto">
              <a:xfrm>
                <a:off x="5247293" y="2743200"/>
                <a:ext cx="2057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9" name="Check Box 27" hidden="1">
                <a:extLst>
                  <a:ext uri="{63B3BB69-23CF-44E3-9099-C40C66FF867C}">
                    <a14:compatExt spid="_x0000_s3099"/>
                  </a:ext>
                  <a:ext uri="{FF2B5EF4-FFF2-40B4-BE49-F238E27FC236}">
                    <a16:creationId xmlns:a16="http://schemas.microsoft.com/office/drawing/2014/main" id="{00000000-0008-0000-0100-00001B0C0000}"/>
                  </a:ext>
                </a:extLst>
              </xdr:cNvPr>
              <xdr:cNvSpPr/>
            </xdr:nvSpPr>
            <xdr:spPr bwMode="auto">
              <a:xfrm>
                <a:off x="5247293" y="2918460"/>
                <a:ext cx="2057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0" name="Check Box 28" hidden="1">
                <a:extLst>
                  <a:ext uri="{63B3BB69-23CF-44E3-9099-C40C66FF867C}">
                    <a14:compatExt spid="_x0000_s3100"/>
                  </a:ext>
                  <a:ext uri="{FF2B5EF4-FFF2-40B4-BE49-F238E27FC236}">
                    <a16:creationId xmlns:a16="http://schemas.microsoft.com/office/drawing/2014/main" id="{00000000-0008-0000-0100-00001C0C0000}"/>
                  </a:ext>
                </a:extLst>
              </xdr:cNvPr>
              <xdr:cNvSpPr/>
            </xdr:nvSpPr>
            <xdr:spPr bwMode="auto">
              <a:xfrm>
                <a:off x="5250180" y="3101340"/>
                <a:ext cx="2057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1" name="Check Box 29" hidden="1">
                <a:extLst>
                  <a:ext uri="{63B3BB69-23CF-44E3-9099-C40C66FF867C}">
                    <a14:compatExt spid="_x0000_s3101"/>
                  </a:ext>
                  <a:ext uri="{FF2B5EF4-FFF2-40B4-BE49-F238E27FC236}">
                    <a16:creationId xmlns:a16="http://schemas.microsoft.com/office/drawing/2014/main" id="{00000000-0008-0000-0100-00001D0C0000}"/>
                  </a:ext>
                </a:extLst>
              </xdr:cNvPr>
              <xdr:cNvSpPr/>
            </xdr:nvSpPr>
            <xdr:spPr bwMode="auto">
              <a:xfrm>
                <a:off x="5250180" y="3291840"/>
                <a:ext cx="2057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2" name="Check Box 30" hidden="1">
                <a:extLst>
                  <a:ext uri="{63B3BB69-23CF-44E3-9099-C40C66FF867C}">
                    <a14:compatExt spid="_x0000_s3102"/>
                  </a:ext>
                  <a:ext uri="{FF2B5EF4-FFF2-40B4-BE49-F238E27FC236}">
                    <a16:creationId xmlns:a16="http://schemas.microsoft.com/office/drawing/2014/main" id="{00000000-0008-0000-0100-00001E0C0000}"/>
                  </a:ext>
                </a:extLst>
              </xdr:cNvPr>
              <xdr:cNvSpPr/>
            </xdr:nvSpPr>
            <xdr:spPr bwMode="auto">
              <a:xfrm>
                <a:off x="5257800" y="3471816"/>
                <a:ext cx="2057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3" name="Check Box 31" hidden="1">
                <a:extLst>
                  <a:ext uri="{63B3BB69-23CF-44E3-9099-C40C66FF867C}">
                    <a14:compatExt spid="_x0000_s3103"/>
                  </a:ext>
                  <a:ext uri="{FF2B5EF4-FFF2-40B4-BE49-F238E27FC236}">
                    <a16:creationId xmlns:a16="http://schemas.microsoft.com/office/drawing/2014/main" id="{00000000-0008-0000-0100-00001F0C0000}"/>
                  </a:ext>
                </a:extLst>
              </xdr:cNvPr>
              <xdr:cNvSpPr/>
            </xdr:nvSpPr>
            <xdr:spPr bwMode="auto">
              <a:xfrm>
                <a:off x="5261494" y="3662316"/>
                <a:ext cx="2057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1</xdr:col>
      <xdr:colOff>177123</xdr:colOff>
      <xdr:row>2</xdr:row>
      <xdr:rowOff>135802</xdr:rowOff>
    </xdr:from>
    <xdr:to>
      <xdr:col>2</xdr:col>
      <xdr:colOff>645358</xdr:colOff>
      <xdr:row>13</xdr:row>
      <xdr:rowOff>4228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896" y="499484"/>
          <a:ext cx="2126196" cy="1955267"/>
        </a:xfrm>
        <a:prstGeom prst="rect">
          <a:avLst/>
        </a:prstGeom>
      </xdr:spPr>
    </xdr:pic>
    <xdr:clientData/>
  </xdr:twoCellAnchor>
  <xdr:twoCellAnchor>
    <xdr:from>
      <xdr:col>3</xdr:col>
      <xdr:colOff>574325</xdr:colOff>
      <xdr:row>24</xdr:row>
      <xdr:rowOff>117764</xdr:rowOff>
    </xdr:from>
    <xdr:to>
      <xdr:col>16</xdr:col>
      <xdr:colOff>107577</xdr:colOff>
      <xdr:row>45</xdr:row>
      <xdr:rowOff>152399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3409413" y="4790617"/>
          <a:ext cx="11366664" cy="4102370"/>
          <a:chOff x="3323881" y="4675909"/>
          <a:chExt cx="11630369" cy="3948546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/>
        </xdr:nvGraphicFramePr>
        <xdr:xfrm>
          <a:off x="3323881" y="4675909"/>
          <a:ext cx="5283257" cy="38965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0" name="Gráfic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/>
        </xdr:nvGraphicFramePr>
        <xdr:xfrm>
          <a:off x="9330170" y="4689764"/>
          <a:ext cx="5624080" cy="39346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197223</xdr:colOff>
          <xdr:row>0</xdr:row>
          <xdr:rowOff>165216</xdr:rowOff>
        </xdr:from>
        <xdr:to>
          <xdr:col>13</xdr:col>
          <xdr:colOff>473518</xdr:colOff>
          <xdr:row>2</xdr:row>
          <xdr:rowOff>179924</xdr:rowOff>
        </xdr:to>
        <xdr:grpSp>
          <xdr:nvGrpSpPr>
            <xdr:cNvPr id="3" name="Grupo 2">
              <a:extLst>
                <a:ext uri="{FF2B5EF4-FFF2-40B4-BE49-F238E27FC236}">
                  <a16:creationId xmlns:a16="http://schemas.microsoft.com/office/drawing/2014/main" id="{213EB295-6829-3085-8676-50DF3A75FB73}"/>
                </a:ext>
              </a:extLst>
            </xdr:cNvPr>
            <xdr:cNvGrpSpPr/>
          </xdr:nvGrpSpPr>
          <xdr:grpSpPr>
            <a:xfrm>
              <a:off x="3637429" y="165216"/>
              <a:ext cx="8826383" cy="395708"/>
              <a:chOff x="3547783" y="165216"/>
              <a:chExt cx="8927235" cy="395708"/>
            </a:xfrm>
          </xdr:grpSpPr>
          <xdr:grpSp>
            <xdr:nvGrpSpPr>
              <xdr:cNvPr id="6" name="Grupo 5">
                <a:extLst>
                  <a:ext uri="{FF2B5EF4-FFF2-40B4-BE49-F238E27FC236}">
                    <a16:creationId xmlns:a16="http://schemas.microsoft.com/office/drawing/2014/main" id="{00000000-0008-0000-0100-000006000000}"/>
                  </a:ext>
                </a:extLst>
              </xdr:cNvPr>
              <xdr:cNvGrpSpPr/>
            </xdr:nvGrpSpPr>
            <xdr:grpSpPr>
              <a:xfrm>
                <a:off x="5078898" y="165216"/>
                <a:ext cx="7396120" cy="395708"/>
                <a:chOff x="4684568" y="165215"/>
                <a:chExt cx="6807083" cy="403171"/>
              </a:xfrm>
            </xdr:grpSpPr>
            <xdr:sp macro="" textlink="">
              <xdr:nvSpPr>
                <xdr:cNvPr id="3105" name="Button 33" hidden="1">
                  <a:extLst>
                    <a:ext uri="{63B3BB69-23CF-44E3-9099-C40C66FF867C}">
                      <a14:compatExt spid="_x0000_s3105"/>
                    </a:ext>
                    <a:ext uri="{FF2B5EF4-FFF2-40B4-BE49-F238E27FC236}">
                      <a16:creationId xmlns:a16="http://schemas.microsoft.com/office/drawing/2014/main" id="{00000000-0008-0000-0100-0000210C0000}"/>
                    </a:ext>
                  </a:extLst>
                </xdr:cNvPr>
                <xdr:cNvSpPr/>
              </xdr:nvSpPr>
              <xdr:spPr bwMode="auto">
                <a:xfrm>
                  <a:off x="4684568" y="172143"/>
                  <a:ext cx="1238629" cy="394162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18288" rIns="27432" bIns="18288" anchor="ctr" upright="1"/>
                <a:lstStyle/>
                <a:p>
                  <a:pPr algn="ctr" rtl="0">
                    <a:defRPr sz="1000"/>
                  </a:pPr>
                  <a:r>
                    <a:rPr lang="es-CO"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DashBoard</a:t>
                  </a:r>
                </a:p>
              </xdr:txBody>
            </xdr:sp>
            <xdr:sp macro="" textlink="">
              <xdr:nvSpPr>
                <xdr:cNvPr id="3121" name="Button 49" hidden="1">
                  <a:extLst>
                    <a:ext uri="{63B3BB69-23CF-44E3-9099-C40C66FF867C}">
                      <a14:compatExt spid="_x0000_s3121"/>
                    </a:ext>
                    <a:ext uri="{FF2B5EF4-FFF2-40B4-BE49-F238E27FC236}">
                      <a16:creationId xmlns:a16="http://schemas.microsoft.com/office/drawing/2014/main" id="{00000000-0008-0000-0100-0000310C0000}"/>
                    </a:ext>
                  </a:extLst>
                </xdr:cNvPr>
                <xdr:cNvSpPr/>
              </xdr:nvSpPr>
              <xdr:spPr bwMode="auto">
                <a:xfrm>
                  <a:off x="10250739" y="166601"/>
                  <a:ext cx="1240912" cy="39312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18288" rIns="27432" bIns="18288" anchor="ctr" upright="1"/>
                <a:lstStyle/>
                <a:p>
                  <a:pPr algn="ctr" rtl="0">
                    <a:defRPr sz="1000"/>
                  </a:pPr>
                  <a:r>
                    <a:rPr lang="es-CO"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Configuracion</a:t>
                  </a:r>
                </a:p>
              </xdr:txBody>
            </xdr:sp>
            <xdr:sp macro="" textlink="">
              <xdr:nvSpPr>
                <xdr:cNvPr id="3122" name="Button 50" hidden="1">
                  <a:extLst>
                    <a:ext uri="{63B3BB69-23CF-44E3-9099-C40C66FF867C}">
                      <a14:compatExt spid="_x0000_s3122"/>
                    </a:ext>
                    <a:ext uri="{FF2B5EF4-FFF2-40B4-BE49-F238E27FC236}">
                      <a16:creationId xmlns:a16="http://schemas.microsoft.com/office/drawing/2014/main" id="{00000000-0008-0000-0100-0000320C0000}"/>
                    </a:ext>
                  </a:extLst>
                </xdr:cNvPr>
                <xdr:cNvSpPr/>
              </xdr:nvSpPr>
              <xdr:spPr bwMode="auto">
                <a:xfrm>
                  <a:off x="6077415" y="175260"/>
                  <a:ext cx="1237326" cy="39312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18288" rIns="27432" bIns="18288" anchor="ctr" upright="1"/>
                <a:lstStyle/>
                <a:p>
                  <a:pPr algn="ctr" rtl="0">
                    <a:defRPr sz="1000"/>
                  </a:pPr>
                  <a:r>
                    <a:rPr lang="es-CO"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Emitir Reporte PDF</a:t>
                  </a:r>
                </a:p>
              </xdr:txBody>
            </xdr:sp>
            <xdr:sp macro="" textlink="">
              <xdr:nvSpPr>
                <xdr:cNvPr id="3124" name="Button 52" hidden="1">
                  <a:extLst>
                    <a:ext uri="{63B3BB69-23CF-44E3-9099-C40C66FF867C}">
                      <a14:compatExt spid="_x0000_s3124"/>
                    </a:ext>
                    <a:ext uri="{FF2B5EF4-FFF2-40B4-BE49-F238E27FC236}">
                      <a16:creationId xmlns:a16="http://schemas.microsoft.com/office/drawing/2014/main" id="{00000000-0008-0000-0100-0000340C0000}"/>
                    </a:ext>
                  </a:extLst>
                </xdr:cNvPr>
                <xdr:cNvSpPr/>
              </xdr:nvSpPr>
              <xdr:spPr bwMode="auto">
                <a:xfrm>
                  <a:off x="7458199" y="173875"/>
                  <a:ext cx="1232435" cy="386542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18288" rIns="27432" bIns="18288" anchor="ctr" upright="1"/>
                <a:lstStyle/>
                <a:p>
                  <a:pPr algn="ctr" rtl="0">
                    <a:defRPr sz="1000"/>
                  </a:pPr>
                  <a:r>
                    <a:rPr lang="es-CO"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Ingresos_Gastos</a:t>
                  </a:r>
                </a:p>
              </xdr:txBody>
            </xdr:sp>
            <xdr:sp macro="" textlink="">
              <xdr:nvSpPr>
                <xdr:cNvPr id="3125" name="Button 53" hidden="1">
                  <a:extLst>
                    <a:ext uri="{63B3BB69-23CF-44E3-9099-C40C66FF867C}">
                      <a14:compatExt spid="_x0000_s3125"/>
                    </a:ext>
                    <a:ext uri="{FF2B5EF4-FFF2-40B4-BE49-F238E27FC236}">
                      <a16:creationId xmlns:a16="http://schemas.microsoft.com/office/drawing/2014/main" id="{00000000-0008-0000-0100-0000350C0000}"/>
                    </a:ext>
                  </a:extLst>
                </xdr:cNvPr>
                <xdr:cNvSpPr/>
              </xdr:nvSpPr>
              <xdr:spPr bwMode="auto">
                <a:xfrm>
                  <a:off x="8864740" y="165215"/>
                  <a:ext cx="1232434" cy="39415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18288" rIns="27432" bIns="18288" anchor="ctr" upright="1"/>
                <a:lstStyle/>
                <a:p>
                  <a:pPr algn="ctr" rtl="0">
                    <a:defRPr sz="1000"/>
                  </a:pPr>
                  <a:r>
                    <a:rPr lang="es-CO"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Ahorro</a:t>
                  </a:r>
                </a:p>
              </xdr:txBody>
            </xdr:sp>
          </xdr:grpSp>
          <xdr:sp macro="" textlink="">
            <xdr:nvSpPr>
              <xdr:cNvPr id="3127" name="Button 55" hidden="1">
                <a:extLst>
                  <a:ext uri="{63B3BB69-23CF-44E3-9099-C40C66FF867C}">
                    <a14:compatExt spid="_x0000_s3127"/>
                  </a:ext>
                  <a:ext uri="{FF2B5EF4-FFF2-40B4-BE49-F238E27FC236}">
                    <a16:creationId xmlns:a16="http://schemas.microsoft.com/office/drawing/2014/main" id="{00000000-0008-0000-0100-0000370C0000}"/>
                  </a:ext>
                </a:extLst>
              </xdr:cNvPr>
              <xdr:cNvSpPr/>
            </xdr:nvSpPr>
            <xdr:spPr bwMode="auto">
              <a:xfrm>
                <a:off x="3547783" y="175260"/>
                <a:ext cx="1350085" cy="38548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s-CO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Presupuesto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182779</xdr:colOff>
      <xdr:row>8</xdr:row>
      <xdr:rowOff>87086</xdr:rowOff>
    </xdr:from>
    <xdr:to>
      <xdr:col>19</xdr:col>
      <xdr:colOff>596172</xdr:colOff>
      <xdr:row>19</xdr:row>
      <xdr:rowOff>174171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56922" y="1611086"/>
          <a:ext cx="2315671" cy="2122714"/>
        </a:xfrm>
        <a:prstGeom prst="rect">
          <a:avLst/>
        </a:prstGeom>
      </xdr:spPr>
    </xdr:pic>
    <xdr:clientData/>
  </xdr:twoCellAnchor>
  <xdr:twoCellAnchor>
    <xdr:from>
      <xdr:col>8</xdr:col>
      <xdr:colOff>571996</xdr:colOff>
      <xdr:row>27</xdr:row>
      <xdr:rowOff>178526</xdr:rowOff>
    </xdr:from>
    <xdr:to>
      <xdr:col>19</xdr:col>
      <xdr:colOff>54428</xdr:colOff>
      <xdr:row>60</xdr:row>
      <xdr:rowOff>14847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022032" y="5376455"/>
          <a:ext cx="10204860" cy="6122821"/>
          <a:chOff x="8471066" y="4857402"/>
          <a:chExt cx="8906493" cy="5721534"/>
        </a:xfrm>
      </xdr:grpSpPr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GraphicFramePr/>
        </xdr:nvGraphicFramePr>
        <xdr:xfrm>
          <a:off x="8471066" y="6644243"/>
          <a:ext cx="4285012" cy="39346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14" name="Grupo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pSpPr/>
        </xdr:nvGrpSpPr>
        <xdr:grpSpPr>
          <a:xfrm>
            <a:off x="8803672" y="4892239"/>
            <a:ext cx="3684419" cy="1540227"/>
            <a:chOff x="9140140" y="4842759"/>
            <a:chExt cx="3832860" cy="1540227"/>
          </a:xfrm>
        </xdr:grpSpPr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6" name="MES 2">
                  <a:extLst>
                    <a:ext uri="{FF2B5EF4-FFF2-40B4-BE49-F238E27FC236}">
                      <a16:creationId xmlns:a16="http://schemas.microsoft.com/office/drawing/2014/main" id="{00000000-0008-0000-0200-000006000000}"/>
                    </a:ext>
                  </a:extLst>
                </xdr:cNvPr>
                <xdr:cNvGraphicFramePr/>
              </xdr:nvGraphicFramePr>
              <xdr:xfrm>
                <a:off x="9140140" y="4847605"/>
                <a:ext cx="1828800" cy="1535381"/>
              </xdr:xfrm>
              <a:graphic>
                <a:graphicData uri="http://schemas.microsoft.com/office/drawing/2010/slicer">
                  <sle:slicer xmlns:sle="http://schemas.microsoft.com/office/drawing/2010/slicer" name="MES 2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9249268" y="5259833"/>
                  <a:ext cx="1790788" cy="1594867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es-CO" sz="1100"/>
  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7" name="AÑO 2">
                  <a:extLst>
                    <a:ext uri="{FF2B5EF4-FFF2-40B4-BE49-F238E27FC236}">
                      <a16:creationId xmlns:a16="http://schemas.microsoft.com/office/drawing/2014/main" id="{00000000-0008-0000-0200-000007000000}"/>
                    </a:ext>
                  </a:extLst>
                </xdr:cNvPr>
                <xdr:cNvGraphicFramePr/>
              </xdr:nvGraphicFramePr>
              <xdr:xfrm>
                <a:off x="11144200" y="4842759"/>
                <a:ext cx="1828800" cy="1530332"/>
              </xdr:xfrm>
              <a:graphic>
                <a:graphicData uri="http://schemas.microsoft.com/office/drawing/2010/slicer">
                  <sle:slicer xmlns:sle="http://schemas.microsoft.com/office/drawing/2010/slicer" name="AÑO 2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1211674" y="5254799"/>
                  <a:ext cx="1790788" cy="1589623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es-CO" sz="1100"/>
  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  </a:r>
                </a:p>
              </xdr:txBody>
            </xdr:sp>
          </mc:Fallback>
        </mc:AlternateContent>
      </xdr:grpSp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aphicFramePr>
            <a:graphicFrameLocks/>
          </xdr:cNvGraphicFramePr>
        </xdr:nvGraphicFramePr>
        <xdr:xfrm>
          <a:off x="13072753" y="6654142"/>
          <a:ext cx="4304806" cy="390500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13" name="Grupo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GrpSpPr/>
        </xdr:nvGrpSpPr>
        <xdr:grpSpPr>
          <a:xfrm>
            <a:off x="13175004" y="4857402"/>
            <a:ext cx="3797604" cy="1535480"/>
            <a:chOff x="13234381" y="4807922"/>
            <a:chExt cx="3797604" cy="1535480"/>
          </a:xfrm>
        </xdr:grpSpPr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9" name="MES 3">
                  <a:extLst>
                    <a:ext uri="{FF2B5EF4-FFF2-40B4-BE49-F238E27FC236}">
                      <a16:creationId xmlns:a16="http://schemas.microsoft.com/office/drawing/2014/main" id="{00000000-0008-0000-0200-000009000000}"/>
                    </a:ext>
                  </a:extLst>
                </xdr:cNvPr>
                <xdr:cNvGraphicFramePr/>
              </xdr:nvGraphicFramePr>
              <xdr:xfrm>
                <a:off x="13234381" y="4822668"/>
                <a:ext cx="1828800" cy="1520734"/>
              </xdr:xfrm>
              <a:graphic>
                <a:graphicData uri="http://schemas.microsoft.com/office/drawing/2010/slicer">
                  <sle:slicer xmlns:sle="http://schemas.microsoft.com/office/drawing/2010/slicer" name="MES 3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3702197" y="5233929"/>
                  <a:ext cx="1862937" cy="1579653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es-CO" sz="1100"/>
  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10" name="AÑO 3">
                  <a:extLst>
                    <a:ext uri="{FF2B5EF4-FFF2-40B4-BE49-F238E27FC236}">
                      <a16:creationId xmlns:a16="http://schemas.microsoft.com/office/drawing/2014/main" id="{00000000-0008-0000-0200-00000A000000}"/>
                    </a:ext>
                  </a:extLst>
                </xdr:cNvPr>
                <xdr:cNvGraphicFramePr/>
              </xdr:nvGraphicFramePr>
              <xdr:xfrm>
                <a:off x="15203185" y="4807922"/>
                <a:ext cx="1828800" cy="1535479"/>
              </xdr:xfrm>
              <a:graphic>
                <a:graphicData uri="http://schemas.microsoft.com/office/drawing/2010/slicer">
                  <sle:slicer xmlns:sle="http://schemas.microsoft.com/office/drawing/2010/slicer" name="AÑO 3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5707752" y="5218612"/>
                  <a:ext cx="1862937" cy="1594969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es-CO" sz="1100"/>
  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  </a:r>
                </a:p>
              </xdr:txBody>
            </xdr:sp>
          </mc:Fallback>
        </mc:AlternateContent>
      </xdr:grpSp>
    </xdr:grpSp>
    <xdr:clientData/>
  </xdr:twoCellAnchor>
  <xdr:twoCellAnchor>
    <xdr:from>
      <xdr:col>14</xdr:col>
      <xdr:colOff>10489</xdr:colOff>
      <xdr:row>62</xdr:row>
      <xdr:rowOff>113412</xdr:rowOff>
    </xdr:from>
    <xdr:to>
      <xdr:col>18</xdr:col>
      <xdr:colOff>626127</xdr:colOff>
      <xdr:row>74</xdr:row>
      <xdr:rowOff>117764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15032775" y="11978841"/>
          <a:ext cx="3990209" cy="2290352"/>
          <a:chOff x="13766074" y="11128764"/>
          <a:chExt cx="3813068" cy="2141911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1" name="MES 4">
                <a:extLst>
                  <a:ext uri="{FF2B5EF4-FFF2-40B4-BE49-F238E27FC236}">
                    <a16:creationId xmlns:a16="http://schemas.microsoft.com/office/drawing/2014/main" id="{00000000-0008-0000-0200-00000B000000}"/>
                  </a:ext>
                </a:extLst>
              </xdr:cNvPr>
              <xdr:cNvGraphicFramePr/>
            </xdr:nvGraphicFramePr>
            <xdr:xfrm>
              <a:off x="13766074" y="11133612"/>
              <a:ext cx="1828800" cy="2137063"/>
            </xdr:xfrm>
            <a:graphic>
              <a:graphicData uri="http://schemas.microsoft.com/office/drawing/2010/slicer">
                <sle:slicer xmlns:sle="http://schemas.microsoft.com/office/drawing/2010/slicer" name="MES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4238118" y="11635534"/>
                <a:ext cx="1788457" cy="222000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O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2" name="AÑO 4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GraphicFramePr/>
            </xdr:nvGraphicFramePr>
            <xdr:xfrm>
              <a:off x="15750342" y="11128764"/>
              <a:ext cx="1828800" cy="2112224"/>
            </xdr:xfrm>
            <a:graphic>
              <a:graphicData uri="http://schemas.microsoft.com/office/drawing/2010/slicer">
                <sle:slicer xmlns:sle="http://schemas.microsoft.com/office/drawing/2010/slicer" name="AÑO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6178613" y="11630498"/>
                <a:ext cx="1788457" cy="2194198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O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647700</xdr:colOff>
          <xdr:row>1</xdr:row>
          <xdr:rowOff>85725</xdr:rowOff>
        </xdr:from>
        <xdr:to>
          <xdr:col>9</xdr:col>
          <xdr:colOff>1123950</xdr:colOff>
          <xdr:row>4</xdr:row>
          <xdr:rowOff>9525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Iniciar Operacion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972911</xdr:colOff>
          <xdr:row>1</xdr:row>
          <xdr:rowOff>66675</xdr:rowOff>
        </xdr:from>
        <xdr:to>
          <xdr:col>15</xdr:col>
          <xdr:colOff>85725</xdr:colOff>
          <xdr:row>4</xdr:row>
          <xdr:rowOff>57150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 Sistema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1285875</xdr:colOff>
          <xdr:row>1</xdr:row>
          <xdr:rowOff>76200</xdr:rowOff>
        </xdr:from>
        <xdr:to>
          <xdr:col>11</xdr:col>
          <xdr:colOff>95250</xdr:colOff>
          <xdr:row>4</xdr:row>
          <xdr:rowOff>19050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238125</xdr:colOff>
          <xdr:row>1</xdr:row>
          <xdr:rowOff>66675</xdr:rowOff>
        </xdr:from>
        <xdr:to>
          <xdr:col>12</xdr:col>
          <xdr:colOff>257175</xdr:colOff>
          <xdr:row>4</xdr:row>
          <xdr:rowOff>19050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238125</xdr:colOff>
          <xdr:row>4</xdr:row>
          <xdr:rowOff>171450</xdr:rowOff>
        </xdr:from>
        <xdr:to>
          <xdr:col>12</xdr:col>
          <xdr:colOff>228600</xdr:colOff>
          <xdr:row>7</xdr:row>
          <xdr:rowOff>85725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Configuracion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428625</xdr:colOff>
          <xdr:row>1</xdr:row>
          <xdr:rowOff>66675</xdr:rowOff>
        </xdr:from>
        <xdr:to>
          <xdr:col>13</xdr:col>
          <xdr:colOff>839561</xdr:colOff>
          <xdr:row>4</xdr:row>
          <xdr:rowOff>28575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2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Emitir Reporte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1304925</xdr:colOff>
          <xdr:row>5</xdr:row>
          <xdr:rowOff>19050</xdr:rowOff>
        </xdr:from>
        <xdr:to>
          <xdr:col>11</xdr:col>
          <xdr:colOff>114300</xdr:colOff>
          <xdr:row>7</xdr:row>
          <xdr:rowOff>95250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2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Ahorro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647700</xdr:colOff>
          <xdr:row>5</xdr:row>
          <xdr:rowOff>9525</xdr:rowOff>
        </xdr:from>
        <xdr:to>
          <xdr:col>9</xdr:col>
          <xdr:colOff>1123950</xdr:colOff>
          <xdr:row>7</xdr:row>
          <xdr:rowOff>85725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449580</xdr:colOff>
      <xdr:row>0</xdr:row>
      <xdr:rowOff>175261</xdr:rowOff>
    </xdr:from>
    <xdr:to>
      <xdr:col>2</xdr:col>
      <xdr:colOff>426720</xdr:colOff>
      <xdr:row>9</xdr:row>
      <xdr:rowOff>154391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" y="175261"/>
          <a:ext cx="1821180" cy="1670770"/>
        </a:xfrm>
        <a:prstGeom prst="rect">
          <a:avLst/>
        </a:prstGeom>
      </xdr:spPr>
    </xdr:pic>
    <xdr:clientData/>
  </xdr:twoCellAnchor>
  <xdr:twoCellAnchor>
    <xdr:from>
      <xdr:col>0</xdr:col>
      <xdr:colOff>297180</xdr:colOff>
      <xdr:row>10</xdr:row>
      <xdr:rowOff>76200</xdr:rowOff>
    </xdr:from>
    <xdr:to>
      <xdr:col>2</xdr:col>
      <xdr:colOff>525780</xdr:colOff>
      <xdr:row>20</xdr:row>
      <xdr:rowOff>169929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Complemento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4" name="Complemento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90990</xdr:colOff>
          <xdr:row>0</xdr:row>
          <xdr:rowOff>170331</xdr:rowOff>
        </xdr:from>
        <xdr:to>
          <xdr:col>15</xdr:col>
          <xdr:colOff>459441</xdr:colOff>
          <xdr:row>2</xdr:row>
          <xdr:rowOff>188706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295C0428-786F-41F9-2B51-11B90B0B7E7A}"/>
                </a:ext>
              </a:extLst>
            </xdr:cNvPr>
            <xdr:cNvGrpSpPr/>
          </xdr:nvGrpSpPr>
          <xdr:grpSpPr>
            <a:xfrm>
              <a:off x="2455431" y="170331"/>
              <a:ext cx="10083951" cy="399375"/>
              <a:chOff x="2455431" y="170331"/>
              <a:chExt cx="10700275" cy="399375"/>
            </a:xfrm>
          </xdr:grpSpPr>
          <xdr:grpSp>
            <xdr:nvGrpSpPr>
              <xdr:cNvPr id="6" name="Grupo 5">
                <a:extLst>
                  <a:ext uri="{FF2B5EF4-FFF2-40B4-BE49-F238E27FC236}">
                    <a16:creationId xmlns:a16="http://schemas.microsoft.com/office/drawing/2014/main" id="{00000000-0008-0000-0300-000006000000}"/>
                  </a:ext>
                </a:extLst>
              </xdr:cNvPr>
              <xdr:cNvGrpSpPr/>
            </xdr:nvGrpSpPr>
            <xdr:grpSpPr>
              <a:xfrm>
                <a:off x="2455431" y="175260"/>
                <a:ext cx="8945241" cy="394446"/>
                <a:chOff x="3333972" y="175260"/>
                <a:chExt cx="7858806" cy="394446"/>
              </a:xfrm>
            </xdr:grpSpPr>
            <xdr:grpSp>
              <xdr:nvGrpSpPr>
                <xdr:cNvPr id="5" name="Grupo 4">
                  <a:extLst>
                    <a:ext uri="{FF2B5EF4-FFF2-40B4-BE49-F238E27FC236}">
                      <a16:creationId xmlns:a16="http://schemas.microsoft.com/office/drawing/2014/main" id="{00000000-0008-0000-0300-000005000000}"/>
                    </a:ext>
                  </a:extLst>
                </xdr:cNvPr>
                <xdr:cNvGrpSpPr/>
              </xdr:nvGrpSpPr>
              <xdr:grpSpPr>
                <a:xfrm>
                  <a:off x="4982965" y="175260"/>
                  <a:ext cx="6209813" cy="386766"/>
                  <a:chOff x="5662598" y="120037"/>
                  <a:chExt cx="5741419" cy="397525"/>
                </a:xfrm>
              </xdr:grpSpPr>
              <xdr:sp macro="" textlink="">
                <xdr:nvSpPr>
                  <xdr:cNvPr id="8193" name="Button 1" hidden="1">
                    <a:extLst>
                      <a:ext uri="{63B3BB69-23CF-44E3-9099-C40C66FF867C}">
                        <a14:compatExt spid="_x0000_s8193"/>
                      </a:ext>
                      <a:ext uri="{FF2B5EF4-FFF2-40B4-BE49-F238E27FC236}">
                        <a16:creationId xmlns:a16="http://schemas.microsoft.com/office/drawing/2014/main" id="{00000000-0008-0000-0300-000001200000}"/>
                      </a:ext>
                    </a:extLst>
                  </xdr:cNvPr>
                  <xdr:cNvSpPr/>
                </xdr:nvSpPr>
                <xdr:spPr bwMode="auto">
                  <a:xfrm>
                    <a:off x="10087555" y="132364"/>
                    <a:ext cx="1316462" cy="385198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18288" rIns="27432" bIns="18288" anchor="ctr" upright="1"/>
                  <a:lstStyle/>
                  <a:p>
                    <a:pPr algn="ctr" rtl="0">
                      <a:defRPr sz="1000"/>
                    </a:pPr>
                    <a:r>
                      <a:rPr lang="es-CO" sz="1100" b="0" i="0" u="none" strike="noStrike" baseline="0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rPr>
                      <a:t>Configuracion</a:t>
                    </a:r>
                  </a:p>
                </xdr:txBody>
              </xdr:sp>
              <xdr:sp macro="" textlink="">
                <xdr:nvSpPr>
                  <xdr:cNvPr id="8194" name="Button 2" hidden="1">
                    <a:extLst>
                      <a:ext uri="{63B3BB69-23CF-44E3-9099-C40C66FF867C}">
                        <a14:compatExt spid="_x0000_s8194"/>
                      </a:ext>
                      <a:ext uri="{FF2B5EF4-FFF2-40B4-BE49-F238E27FC236}">
                        <a16:creationId xmlns:a16="http://schemas.microsoft.com/office/drawing/2014/main" id="{00000000-0008-0000-0300-000002200000}"/>
                      </a:ext>
                    </a:extLst>
                  </xdr:cNvPr>
                  <xdr:cNvSpPr/>
                </xdr:nvSpPr>
                <xdr:spPr bwMode="auto">
                  <a:xfrm>
                    <a:off x="8616551" y="125088"/>
                    <a:ext cx="1316462" cy="387679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18288" rIns="27432" bIns="18288" anchor="ctr" upright="1"/>
                  <a:lstStyle/>
                  <a:p>
                    <a:pPr algn="ctr" rtl="0">
                      <a:defRPr sz="1000"/>
                    </a:pPr>
                    <a:r>
                      <a:rPr lang="es-CO" sz="1100" b="0" i="0" u="none" strike="noStrike" baseline="0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rPr>
                      <a:t>Emitir Reporte PDF</a:t>
                    </a:r>
                  </a:p>
                </xdr:txBody>
              </xdr:sp>
              <xdr:sp macro="" textlink="">
                <xdr:nvSpPr>
                  <xdr:cNvPr id="8195" name="Button 3" hidden="1">
                    <a:extLst>
                      <a:ext uri="{63B3BB69-23CF-44E3-9099-C40C66FF867C}">
                        <a14:compatExt spid="_x0000_s8195"/>
                      </a:ext>
                      <a:ext uri="{FF2B5EF4-FFF2-40B4-BE49-F238E27FC236}">
                        <a16:creationId xmlns:a16="http://schemas.microsoft.com/office/drawing/2014/main" id="{00000000-0008-0000-0300-000003200000}"/>
                      </a:ext>
                    </a:extLst>
                  </xdr:cNvPr>
                  <xdr:cNvSpPr/>
                </xdr:nvSpPr>
                <xdr:spPr bwMode="auto">
                  <a:xfrm>
                    <a:off x="7132235" y="120037"/>
                    <a:ext cx="1316462" cy="38519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18288" rIns="27432" bIns="18288" anchor="ctr" upright="1"/>
                  <a:lstStyle/>
                  <a:p>
                    <a:pPr algn="ctr" rtl="0">
                      <a:defRPr sz="1000"/>
                    </a:pPr>
                    <a:r>
                      <a:rPr lang="es-CO" sz="1100" b="0" i="0" u="none" strike="noStrike" baseline="0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rPr>
                      <a:t>Ingresos_Gastos</a:t>
                    </a:r>
                  </a:p>
                </xdr:txBody>
              </xdr:sp>
              <xdr:sp macro="" textlink="">
                <xdr:nvSpPr>
                  <xdr:cNvPr id="8197" name="Button 5" hidden="1">
                    <a:extLst>
                      <a:ext uri="{63B3BB69-23CF-44E3-9099-C40C66FF867C}">
                        <a14:compatExt spid="_x0000_s8197"/>
                      </a:ext>
                      <a:ext uri="{FF2B5EF4-FFF2-40B4-BE49-F238E27FC236}">
                        <a16:creationId xmlns:a16="http://schemas.microsoft.com/office/drawing/2014/main" id="{00000000-0008-0000-0300-000005200000}"/>
                      </a:ext>
                    </a:extLst>
                  </xdr:cNvPr>
                  <xdr:cNvSpPr/>
                </xdr:nvSpPr>
                <xdr:spPr bwMode="auto">
                  <a:xfrm>
                    <a:off x="5662598" y="129540"/>
                    <a:ext cx="1316377" cy="38519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18288" rIns="27432" bIns="18288" anchor="ctr" upright="1"/>
                  <a:lstStyle/>
                  <a:p>
                    <a:pPr algn="ctr" rtl="0">
                      <a:defRPr sz="1000"/>
                    </a:pPr>
                    <a:r>
                      <a:rPr lang="es-CO" sz="1100" b="0" i="0" u="none" strike="noStrike" baseline="0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rPr>
                      <a:t>Presupuesto</a:t>
                    </a:r>
                  </a:p>
                </xdr:txBody>
              </xdr:sp>
            </xdr:grpSp>
            <xdr:sp macro="" textlink="">
              <xdr:nvSpPr>
                <xdr:cNvPr id="8199" name="Button 7" hidden="1">
                  <a:extLst>
                    <a:ext uri="{63B3BB69-23CF-44E3-9099-C40C66FF867C}">
                      <a14:compatExt spid="_x0000_s8199"/>
                    </a:ext>
                    <a:ext uri="{FF2B5EF4-FFF2-40B4-BE49-F238E27FC236}">
                      <a16:creationId xmlns:a16="http://schemas.microsoft.com/office/drawing/2014/main" id="{00000000-0008-0000-0300-000007200000}"/>
                    </a:ext>
                  </a:extLst>
                </xdr:cNvPr>
                <xdr:cNvSpPr/>
              </xdr:nvSpPr>
              <xdr:spPr bwMode="auto">
                <a:xfrm>
                  <a:off x="3333972" y="195878"/>
                  <a:ext cx="1426733" cy="37382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18288" rIns="27432" bIns="18288" anchor="ctr" upright="1"/>
                <a:lstStyle/>
                <a:p>
                  <a:pPr algn="ctr" rtl="0">
                    <a:defRPr sz="1000"/>
                  </a:pPr>
                  <a:r>
                    <a:rPr lang="es-CO"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Asignar</a:t>
                  </a:r>
                </a:p>
              </xdr:txBody>
            </xdr:sp>
          </xdr:grpSp>
          <xdr:sp macro="" textlink="">
            <xdr:nvSpPr>
              <xdr:cNvPr id="8200" name="Button 8" hidden="1">
                <a:extLst>
                  <a:ext uri="{63B3BB69-23CF-44E3-9099-C40C66FF867C}">
                    <a14:compatExt spid="_x0000_s8200"/>
                  </a:ext>
                  <a:ext uri="{FF2B5EF4-FFF2-40B4-BE49-F238E27FC236}">
                    <a16:creationId xmlns:a16="http://schemas.microsoft.com/office/drawing/2014/main" id="{00000000-0008-0000-0300-000008200000}"/>
                  </a:ext>
                </a:extLst>
              </xdr:cNvPr>
              <xdr:cNvSpPr/>
            </xdr:nvSpPr>
            <xdr:spPr bwMode="auto">
              <a:xfrm>
                <a:off x="11519648" y="170331"/>
                <a:ext cx="1636058" cy="38996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s-CO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DashBoard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1</xdr:row>
          <xdr:rowOff>171450</xdr:rowOff>
        </xdr:from>
        <xdr:to>
          <xdr:col>6</xdr:col>
          <xdr:colOff>247650</xdr:colOff>
          <xdr:row>3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Ingresos_Gastos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4</xdr:row>
          <xdr:rowOff>123825</xdr:rowOff>
        </xdr:from>
        <xdr:to>
          <xdr:col>6</xdr:col>
          <xdr:colOff>247650</xdr:colOff>
          <xdr:row>6</xdr:row>
          <xdr:rowOff>161925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335280</xdr:colOff>
      <xdr:row>1</xdr:row>
      <xdr:rowOff>38100</xdr:rowOff>
    </xdr:from>
    <xdr:to>
      <xdr:col>3</xdr:col>
      <xdr:colOff>390039</xdr:colOff>
      <xdr:row>13</xdr:row>
      <xdr:rowOff>102113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" y="220980"/>
          <a:ext cx="2691279" cy="23957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485775</xdr:colOff>
          <xdr:row>1</xdr:row>
          <xdr:rowOff>171450</xdr:rowOff>
        </xdr:from>
        <xdr:to>
          <xdr:col>6</xdr:col>
          <xdr:colOff>1800225</xdr:colOff>
          <xdr:row>3</xdr:row>
          <xdr:rowOff>171450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DashBoard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4</xdr:row>
          <xdr:rowOff>142875</xdr:rowOff>
        </xdr:from>
        <xdr:to>
          <xdr:col>6</xdr:col>
          <xdr:colOff>1809750</xdr:colOff>
          <xdr:row>6</xdr:row>
          <xdr:rowOff>180975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DashBoard Pto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7</xdr:row>
          <xdr:rowOff>104775</xdr:rowOff>
        </xdr:from>
        <xdr:to>
          <xdr:col>6</xdr:col>
          <xdr:colOff>247650</xdr:colOff>
          <xdr:row>9</xdr:row>
          <xdr:rowOff>133350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Ahorro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546.509954398149" createdVersion="8" refreshedVersion="8" minRefreshableVersion="3" recordCount="14" xr:uid="{CE26A5F3-8F15-40C7-B026-7D56BBE70A4F}">
  <cacheSource type="worksheet">
    <worksheetSource name="Tabla3"/>
  </cacheSource>
  <cacheFields count="5">
    <cacheField name="Categoria" numFmtId="0">
      <sharedItems containsBlank="1" count="17">
        <s v=""/>
        <s v="Arriendo" u="1"/>
        <s v="Servicios" u="1"/>
        <s v="Impuestos" u="1"/>
        <s v="Alimentacion" u="1"/>
        <s v="Transporte" u="1"/>
        <s v="Entretenimiento" u="1"/>
        <s v="Otros" u="1"/>
        <s v="Ahorro" u="1"/>
        <s v="Empty_2" u="1"/>
        <s v="Empty_3" u="1"/>
        <s v="Empty_4" u="1"/>
        <s v="Empty_5" u="1"/>
        <s v="Renta" u="1"/>
        <s v="Prestamos" u="1"/>
        <s v="Ventas" u="1"/>
        <m u="1"/>
      </sharedItems>
    </cacheField>
    <cacheField name="Fecha Esperada" numFmtId="14">
      <sharedItems containsNonDate="0"/>
    </cacheField>
    <cacheField name="Descripcion" numFmtId="0">
      <sharedItems/>
    </cacheField>
    <cacheField name="Monto" numFmtId="167">
      <sharedItems containsSemiMixedTypes="0" containsString="0" containsNumber="1" containsInteger="1" minValue="0" maxValue="0"/>
    </cacheField>
    <cacheField name="Estad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546.509955671296" createdVersion="8" refreshedVersion="8" minRefreshableVersion="3" recordCount="14" xr:uid="{23FBB465-8D35-405C-9664-870435F09EB0}">
  <cacheSource type="worksheet">
    <worksheetSource name="Tabla2"/>
  </cacheSource>
  <cacheFields count="5">
    <cacheField name="Categoria" numFmtId="0">
      <sharedItems containsBlank="1" count="12">
        <s v=""/>
        <s v="Renta" u="1"/>
        <s v="Salario" u="1"/>
        <s v="Prestamos" u="1"/>
        <s v="Ventas" u="1"/>
        <s v="Otros" u="1"/>
        <s v="Empty_1" u="1"/>
        <s v="Empty_2" u="1"/>
        <s v="Empty_3" u="1"/>
        <s v="Empty_4" u="1"/>
        <s v="Empty_5" u="1"/>
        <m u="1"/>
      </sharedItems>
    </cacheField>
    <cacheField name="Fecha Esperada" numFmtId="14">
      <sharedItems containsNonDate="0"/>
    </cacheField>
    <cacheField name="Descripcion" numFmtId="0">
      <sharedItems/>
    </cacheField>
    <cacheField name="Monto" numFmtId="167">
      <sharedItems containsSemiMixedTypes="0" containsString="0" containsNumber="1" containsInteger="1" minValue="0" maxValue="0"/>
    </cacheField>
    <cacheField name="Estad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546.50995590278" createdVersion="8" refreshedVersion="8" minRefreshableVersion="3" recordCount="1" xr:uid="{20F9E7FE-70F7-4995-86E9-B906B113063D}">
  <cacheSource type="worksheet">
    <worksheetSource name="Tabla1"/>
  </cacheSource>
  <cacheFields count="8">
    <cacheField name="Tipo" numFmtId="0">
      <sharedItems containsBlank="1" count="5">
        <s v="X"/>
        <m u="1"/>
        <s v="Ingreso" u="1"/>
        <s v="Gasto" u="1"/>
        <s v=" " u="1"/>
      </sharedItems>
    </cacheField>
    <cacheField name="Fecha" numFmtId="0">
      <sharedItems containsNonDate="0" containsString="0" containsBlank="1"/>
    </cacheField>
    <cacheField name="Categoria" numFmtId="0">
      <sharedItems containsNonDate="0" containsBlank="1" count="18">
        <m/>
        <s v="Salario" u="1"/>
        <s v="Arriendo" u="1"/>
        <s v="Renta" u="1"/>
        <s v="Servicios" u="1"/>
        <s v="Prestamos" u="1"/>
        <s v="Ventas" u="1"/>
        <s v="Otros" u="1"/>
        <s v="Empty_1" u="1"/>
        <s v="Empty_2" u="1"/>
        <s v="Empty_3" u="1"/>
        <s v="Empty_4" u="1"/>
        <s v="Empty_5" u="1"/>
        <s v="Impuestos" u="1"/>
        <s v="Alimentacion" u="1"/>
        <s v="Transporte" u="1"/>
        <s v="Entretenimiento" u="1"/>
        <s v="Ahorro" u="1"/>
      </sharedItems>
    </cacheField>
    <cacheField name="Descripcion" numFmtId="0">
      <sharedItems containsNonDate="0" containsString="0" containsBlank="1"/>
    </cacheField>
    <cacheField name="Monto" numFmtId="41">
      <sharedItems containsNonDate="0" containsString="0" containsBlank="1"/>
    </cacheField>
    <cacheField name="Estado" numFmtId="0">
      <sharedItems containsNonDate="0" containsString="0" containsBlank="1"/>
    </cacheField>
    <cacheField name="MES" numFmtId="0">
      <sharedItems containsNonDate="0" containsString="0" containsBlank="1" containsNumber="1" containsInteger="1" minValue="1" maxValue="2024" count="14">
        <m/>
        <n v="9" u="1"/>
        <n v="1" u="1"/>
        <n v="2" u="1"/>
        <n v="3" u="1"/>
        <n v="4" u="1"/>
        <n v="5" u="1"/>
        <n v="6" u="1"/>
        <n v="7" u="1"/>
        <n v="8" u="1"/>
        <n v="10" u="1"/>
        <n v="11" u="1"/>
        <n v="12" u="1"/>
        <n v="2024" u="1"/>
      </sharedItems>
    </cacheField>
    <cacheField name="AÑO" numFmtId="0">
      <sharedItems containsNonDate="0" containsString="0" containsBlank="1" containsNumber="1" containsInteger="1" minValue="1900" maxValue="2024" count="4">
        <m/>
        <n v="2024" u="1"/>
        <n v="1900" u="1"/>
        <n v="2023" u="1"/>
      </sharedItems>
    </cacheField>
  </cacheFields>
  <extLst>
    <ext xmlns:x14="http://schemas.microsoft.com/office/spreadsheetml/2009/9/main" uri="{725AE2AE-9491-48be-B2B4-4EB974FC3084}">
      <x14:pivotCacheDefinition pivotCacheId="47547021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  <r>
    <x v="0"/>
    <s v=""/>
    <s v=""/>
    <n v="0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m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3B7DED-85F2-4FBD-9D8B-88BB8EACEF40}" name="TablaDinámica8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B32:C33" firstHeaderRow="1" firstDataRow="1" firstDataCol="1" rowPageCount="1" colPageCount="1"/>
  <pivotFields count="8">
    <pivotField axis="axisPage" multipleItemSelectionAllowed="1" showAll="0">
      <items count="6">
        <item m="1" x="3"/>
        <item h="1" m="1" x="2"/>
        <item h="1" m="1" x="1"/>
        <item h="1" m="1" x="4"/>
        <item h="1" x="0"/>
        <item t="default"/>
      </items>
    </pivotField>
    <pivotField numFmtId="22" showAll="0"/>
    <pivotField axis="axisRow" showAll="0">
      <items count="19">
        <item m="1" x="14"/>
        <item m="1" x="2"/>
        <item m="1" x="16"/>
        <item m="1" x="7"/>
        <item m="1" x="5"/>
        <item m="1" x="1"/>
        <item m="1" x="4"/>
        <item m="1" x="15"/>
        <item m="1" x="6"/>
        <item m="1" x="8"/>
        <item x="0"/>
        <item m="1" x="3"/>
        <item m="1" x="13"/>
        <item m="1" x="17"/>
        <item m="1" x="9"/>
        <item m="1" x="10"/>
        <item m="1" x="11"/>
        <item m="1" x="12"/>
        <item t="default"/>
      </items>
    </pivotField>
    <pivotField showAll="0"/>
    <pivotField dataField="1" numFmtId="166" showAll="0"/>
    <pivotField showAll="0"/>
    <pivotField showAll="0">
      <items count="15">
        <item m="1" x="2"/>
        <item m="1" x="3"/>
        <item m="1" x="4"/>
        <item m="1" x="5"/>
        <item m="1" x="6"/>
        <item m="1" x="7"/>
        <item m="1" x="8"/>
        <item m="1" x="9"/>
        <item m="1" x="1"/>
        <item m="1" x="10"/>
        <item m="1" x="11"/>
        <item m="1" x="12"/>
        <item m="1" x="13"/>
        <item x="0"/>
        <item t="default"/>
      </items>
    </pivotField>
    <pivotField multipleItemSelectionAllowed="1" showAll="0">
      <items count="5">
        <item m="1" x="2"/>
        <item m="1" x="3"/>
        <item m="1" x="1"/>
        <item x="0"/>
        <item t="default"/>
      </items>
    </pivotField>
  </pivotFields>
  <rowFields count="1">
    <field x="2"/>
  </rowFields>
  <rowItems count="1">
    <i t="grand">
      <x/>
    </i>
  </rowItems>
  <colItems count="1">
    <i/>
  </colItems>
  <pageFields count="1">
    <pageField fld="0" hier="-1"/>
  </pageFields>
  <dataFields count="1">
    <dataField name="Suma de Monto" fld="4" baseField="0" baseItem="0"/>
  </dataFields>
  <formats count="25">
    <format dxfId="383">
      <pivotArea collapsedLevelsAreSubtotals="1" fieldPosition="0">
        <references count="1">
          <reference field="2" count="1">
            <x v="1"/>
          </reference>
        </references>
      </pivotArea>
    </format>
    <format dxfId="382">
      <pivotArea type="all" dataOnly="0" outline="0" fieldPosition="0"/>
    </format>
    <format dxfId="381">
      <pivotArea outline="0" collapsedLevelsAreSubtotals="1" fieldPosition="0"/>
    </format>
    <format dxfId="380">
      <pivotArea field="2" type="button" dataOnly="0" labelOnly="1" outline="0" axis="axisRow" fieldPosition="0"/>
    </format>
    <format dxfId="379">
      <pivotArea dataOnly="0" labelOnly="1" fieldPosition="0">
        <references count="1">
          <reference field="2" count="5">
            <x v="0"/>
            <x v="1"/>
            <x v="2"/>
            <x v="6"/>
            <x v="7"/>
          </reference>
        </references>
      </pivotArea>
    </format>
    <format dxfId="378">
      <pivotArea dataOnly="0" labelOnly="1" grandRow="1" outline="0" fieldPosition="0"/>
    </format>
    <format dxfId="377">
      <pivotArea dataOnly="0" labelOnly="1" outline="0" axis="axisValues" fieldPosition="0"/>
    </format>
    <format dxfId="376">
      <pivotArea type="all" dataOnly="0" outline="0" fieldPosition="0"/>
    </format>
    <format dxfId="375">
      <pivotArea outline="0" collapsedLevelsAreSubtotals="1" fieldPosition="0"/>
    </format>
    <format dxfId="374">
      <pivotArea field="2" type="button" dataOnly="0" labelOnly="1" outline="0" axis="axisRow" fieldPosition="0"/>
    </format>
    <format dxfId="373">
      <pivotArea dataOnly="0" labelOnly="1" fieldPosition="0">
        <references count="1">
          <reference field="2" count="5">
            <x v="0"/>
            <x v="1"/>
            <x v="2"/>
            <x v="6"/>
            <x v="7"/>
          </reference>
        </references>
      </pivotArea>
    </format>
    <format dxfId="372">
      <pivotArea dataOnly="0" labelOnly="1" grandRow="1" outline="0" fieldPosition="0"/>
    </format>
    <format dxfId="371">
      <pivotArea dataOnly="0" labelOnly="1" outline="0" axis="axisValues" fieldPosition="0"/>
    </format>
    <format dxfId="370">
      <pivotArea type="all" dataOnly="0" outline="0" fieldPosition="0"/>
    </format>
    <format dxfId="369">
      <pivotArea outline="0" collapsedLevelsAreSubtotals="1" fieldPosition="0"/>
    </format>
    <format dxfId="368">
      <pivotArea field="2" type="button" dataOnly="0" labelOnly="1" outline="0" axis="axisRow" fieldPosition="0"/>
    </format>
    <format dxfId="367">
      <pivotArea dataOnly="0" labelOnly="1" fieldPosition="0">
        <references count="1">
          <reference field="2" count="6">
            <x v="0"/>
            <x v="1"/>
            <x v="2"/>
            <x v="3"/>
            <x v="6"/>
            <x v="7"/>
          </reference>
        </references>
      </pivotArea>
    </format>
    <format dxfId="366">
      <pivotArea dataOnly="0" labelOnly="1" grandRow="1" outline="0" fieldPosition="0"/>
    </format>
    <format dxfId="365">
      <pivotArea dataOnly="0" labelOnly="1" outline="0" axis="axisValues" fieldPosition="0"/>
    </format>
    <format dxfId="364">
      <pivotArea type="all" dataOnly="0" outline="0" fieldPosition="0"/>
    </format>
    <format dxfId="363">
      <pivotArea outline="0" collapsedLevelsAreSubtotals="1" fieldPosition="0"/>
    </format>
    <format dxfId="362">
      <pivotArea field="2" type="button" dataOnly="0" labelOnly="1" outline="0" axis="axisRow" fieldPosition="0"/>
    </format>
    <format dxfId="361">
      <pivotArea dataOnly="0" labelOnly="1" fieldPosition="0">
        <references count="1">
          <reference field="2" count="12">
            <x v="0"/>
            <x v="1"/>
            <x v="2"/>
            <x v="3"/>
            <x v="6"/>
            <x v="7"/>
            <x v="12"/>
            <x v="13"/>
            <x v="14"/>
            <x v="15"/>
            <x v="16"/>
            <x v="17"/>
          </reference>
        </references>
      </pivotArea>
    </format>
    <format dxfId="360">
      <pivotArea dataOnly="0" labelOnly="1" grandRow="1" outline="0" fieldPosition="0"/>
    </format>
    <format dxfId="359">
      <pivotArea dataOnly="0" labelOnly="1" outline="0" axis="axisValues" fieldPosition="0"/>
    </format>
  </format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565789-B30E-4942-89D0-B3C26E5FC1FD}" name="TablaDinámica7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>
  <location ref="B15:C16" firstHeaderRow="1" firstDataRow="1" firstDataCol="1" rowPageCount="1" colPageCount="1"/>
  <pivotFields count="8">
    <pivotField axis="axisPage" multipleItemSelectionAllowed="1" showAll="0">
      <items count="6">
        <item h="1" m="1" x="3"/>
        <item m="1" x="2"/>
        <item h="1" m="1" x="1"/>
        <item h="1" m="1" x="4"/>
        <item h="1" x="0"/>
        <item t="default"/>
      </items>
    </pivotField>
    <pivotField numFmtId="22" showAll="0"/>
    <pivotField axis="axisRow" showAll="0">
      <items count="19">
        <item m="1" x="14"/>
        <item m="1" x="2"/>
        <item m="1" x="16"/>
        <item m="1" x="7"/>
        <item m="1" x="5"/>
        <item m="1" x="1"/>
        <item m="1" x="4"/>
        <item m="1" x="15"/>
        <item m="1" x="6"/>
        <item m="1" x="8"/>
        <item x="0"/>
        <item m="1" x="3"/>
        <item m="1" x="13"/>
        <item m="1" x="17"/>
        <item m="1" x="9"/>
        <item m="1" x="10"/>
        <item m="1" x="11"/>
        <item m="1" x="12"/>
        <item t="default"/>
      </items>
    </pivotField>
    <pivotField showAll="0"/>
    <pivotField dataField="1" numFmtId="166" showAll="0"/>
    <pivotField showAll="0"/>
    <pivotField showAll="0">
      <items count="15">
        <item m="1" x="2"/>
        <item m="1" x="3"/>
        <item m="1" x="4"/>
        <item m="1" x="5"/>
        <item m="1" x="6"/>
        <item m="1" x="7"/>
        <item m="1" x="8"/>
        <item m="1" x="9"/>
        <item m="1" x="1"/>
        <item m="1" x="10"/>
        <item m="1" x="11"/>
        <item m="1" x="12"/>
        <item m="1" x="13"/>
        <item x="0"/>
        <item t="default"/>
      </items>
    </pivotField>
    <pivotField showAll="0">
      <items count="5">
        <item m="1" x="2"/>
        <item m="1" x="3"/>
        <item m="1" x="1"/>
        <item x="0"/>
        <item t="default"/>
      </items>
    </pivotField>
  </pivotFields>
  <rowFields count="1">
    <field x="2"/>
  </rowFields>
  <rowItems count="1">
    <i t="grand">
      <x/>
    </i>
  </rowItems>
  <colItems count="1">
    <i/>
  </colItems>
  <pageFields count="1">
    <pageField fld="0" hier="-1"/>
  </pageFields>
  <dataFields count="1">
    <dataField name="Suma de Monto" fld="4" baseField="0" baseItem="0"/>
  </dataFields>
  <formats count="40">
    <format dxfId="423">
      <pivotArea type="all" dataOnly="0" outline="0" fieldPosition="0"/>
    </format>
    <format dxfId="422">
      <pivotArea outline="0" collapsedLevelsAreSubtotals="1" fieldPosition="0"/>
    </format>
    <format dxfId="421">
      <pivotArea field="2" type="button" dataOnly="0" labelOnly="1" outline="0" axis="axisRow" fieldPosition="0"/>
    </format>
    <format dxfId="420">
      <pivotArea dataOnly="0" labelOnly="1" fieldPosition="0">
        <references count="1">
          <reference field="2" count="0"/>
        </references>
      </pivotArea>
    </format>
    <format dxfId="419">
      <pivotArea dataOnly="0" labelOnly="1" grandRow="1" outline="0" fieldPosition="0"/>
    </format>
    <format dxfId="418">
      <pivotArea dataOnly="0" labelOnly="1" outline="0" axis="axisValues" fieldPosition="0"/>
    </format>
    <format dxfId="417">
      <pivotArea type="all" dataOnly="0" outline="0" fieldPosition="0"/>
    </format>
    <format dxfId="416">
      <pivotArea outline="0" collapsedLevelsAreSubtotals="1" fieldPosition="0"/>
    </format>
    <format dxfId="415">
      <pivotArea field="2" type="button" dataOnly="0" labelOnly="1" outline="0" axis="axisRow" fieldPosition="0"/>
    </format>
    <format dxfId="414">
      <pivotArea dataOnly="0" labelOnly="1" fieldPosition="0">
        <references count="1">
          <reference field="2" count="4">
            <x v="3"/>
            <x v="4"/>
            <x v="5"/>
            <x v="8"/>
          </reference>
        </references>
      </pivotArea>
    </format>
    <format dxfId="413">
      <pivotArea dataOnly="0" labelOnly="1" grandRow="1" outline="0" fieldPosition="0"/>
    </format>
    <format dxfId="412">
      <pivotArea dataOnly="0" labelOnly="1" outline="0" axis="axisValues" fieldPosition="0"/>
    </format>
    <format dxfId="411">
      <pivotArea type="all" dataOnly="0" outline="0" fieldPosition="0"/>
    </format>
    <format dxfId="410">
      <pivotArea outline="0" collapsedLevelsAreSubtotals="1" fieldPosition="0"/>
    </format>
    <format dxfId="409">
      <pivotArea field="2" type="button" dataOnly="0" labelOnly="1" outline="0" axis="axisRow" fieldPosition="0"/>
    </format>
    <format dxfId="408">
      <pivotArea dataOnly="0" labelOnly="1" fieldPosition="0">
        <references count="1">
          <reference field="2" count="4">
            <x v="3"/>
            <x v="4"/>
            <x v="5"/>
            <x v="8"/>
          </reference>
        </references>
      </pivotArea>
    </format>
    <format dxfId="407">
      <pivotArea dataOnly="0" labelOnly="1" grandRow="1" outline="0" fieldPosition="0"/>
    </format>
    <format dxfId="406">
      <pivotArea dataOnly="0" labelOnly="1" outline="0" axis="axisValues" fieldPosition="0"/>
    </format>
    <format dxfId="405">
      <pivotArea type="all" dataOnly="0" outline="0" fieldPosition="0"/>
    </format>
    <format dxfId="404">
      <pivotArea outline="0" collapsedLevelsAreSubtotals="1" fieldPosition="0"/>
    </format>
    <format dxfId="403">
      <pivotArea field="2" type="button" dataOnly="0" labelOnly="1" outline="0" axis="axisRow" fieldPosition="0"/>
    </format>
    <format dxfId="402">
      <pivotArea dataOnly="0" labelOnly="1" fieldPosition="0">
        <references count="1">
          <reference field="2" count="4">
            <x v="3"/>
            <x v="4"/>
            <x v="5"/>
            <x v="8"/>
          </reference>
        </references>
      </pivotArea>
    </format>
    <format dxfId="401">
      <pivotArea dataOnly="0" labelOnly="1" grandRow="1" outline="0" fieldPosition="0"/>
    </format>
    <format dxfId="400">
      <pivotArea dataOnly="0" labelOnly="1" outline="0" axis="axisValues" fieldPosition="0"/>
    </format>
    <format dxfId="399">
      <pivotArea collapsedLevelsAreSubtotals="1" fieldPosition="0">
        <references count="1">
          <reference field="2" count="2">
            <x v="5"/>
            <x v="8"/>
          </reference>
        </references>
      </pivotArea>
    </format>
    <format dxfId="398">
      <pivotArea grandRow="1" outline="0" collapsedLevelsAreSubtotals="1" fieldPosition="0"/>
    </format>
    <format dxfId="397">
      <pivotArea dataOnly="0" labelOnly="1" fieldPosition="0">
        <references count="1">
          <reference field="2" count="2">
            <x v="5"/>
            <x v="8"/>
          </reference>
        </references>
      </pivotArea>
    </format>
    <format dxfId="396">
      <pivotArea dataOnly="0" labelOnly="1" grandRow="1" outline="0" fieldPosition="0"/>
    </format>
    <format dxfId="395">
      <pivotArea type="all" dataOnly="0" outline="0" fieldPosition="0"/>
    </format>
    <format dxfId="394">
      <pivotArea outline="0" collapsedLevelsAreSubtotals="1" fieldPosition="0"/>
    </format>
    <format dxfId="393">
      <pivotArea field="2" type="button" dataOnly="0" labelOnly="1" outline="0" axis="axisRow" fieldPosition="0"/>
    </format>
    <format dxfId="392">
      <pivotArea dataOnly="0" labelOnly="1" fieldPosition="0">
        <references count="1">
          <reference field="2" count="4">
            <x v="3"/>
            <x v="4"/>
            <x v="5"/>
            <x v="8"/>
          </reference>
        </references>
      </pivotArea>
    </format>
    <format dxfId="391">
      <pivotArea dataOnly="0" labelOnly="1" grandRow="1" outline="0" fieldPosition="0"/>
    </format>
    <format dxfId="390">
      <pivotArea dataOnly="0" labelOnly="1" outline="0" axis="axisValues" fieldPosition="0"/>
    </format>
    <format dxfId="389">
      <pivotArea type="all" dataOnly="0" outline="0" fieldPosition="0"/>
    </format>
    <format dxfId="388">
      <pivotArea outline="0" collapsedLevelsAreSubtotals="1" fieldPosition="0"/>
    </format>
    <format dxfId="387">
      <pivotArea field="2" type="button" dataOnly="0" labelOnly="1" outline="0" axis="axisRow" fieldPosition="0"/>
    </format>
    <format dxfId="386">
      <pivotArea dataOnly="0" labelOnly="1" fieldPosition="0">
        <references count="1">
          <reference field="2" count="10">
            <x v="3"/>
            <x v="4"/>
            <x v="5"/>
            <x v="8"/>
            <x v="9"/>
            <x v="11"/>
            <x v="14"/>
            <x v="15"/>
            <x v="16"/>
            <x v="17"/>
          </reference>
        </references>
      </pivotArea>
    </format>
    <format dxfId="385">
      <pivotArea dataOnly="0" labelOnly="1" grandRow="1" outline="0" fieldPosition="0"/>
    </format>
    <format dxfId="384">
      <pivotArea dataOnly="0" labelOnly="1" outline="0" axis="axisValues" fieldPosition="0"/>
    </format>
  </formats>
  <chartFormats count="2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7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3340AB-40C4-4A20-B611-62E37270EF1B}" name="TablaDinámica3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1">
  <location ref="E28:F30" firstHeaderRow="1" firstDataRow="1" firstDataCol="1"/>
  <pivotFields count="5">
    <pivotField axis="axisRow" showAll="0">
      <items count="13">
        <item m="1" x="5"/>
        <item m="1" x="3"/>
        <item m="1" x="1"/>
        <item m="1" x="2"/>
        <item m="1" x="4"/>
        <item m="1" x="11"/>
        <item m="1" x="6"/>
        <item x="0"/>
        <item m="1" x="7"/>
        <item m="1" x="8"/>
        <item m="1" x="9"/>
        <item m="1" x="10"/>
        <item t="default"/>
      </items>
    </pivotField>
    <pivotField showAll="0"/>
    <pivotField showAll="0"/>
    <pivotField dataField="1" showAll="0"/>
    <pivotField showAll="0"/>
  </pivotFields>
  <rowFields count="1">
    <field x="0"/>
  </rowFields>
  <rowItems count="2">
    <i>
      <x v="7"/>
    </i>
    <i t="grand">
      <x/>
    </i>
  </rowItems>
  <colItems count="1">
    <i/>
  </colItems>
  <dataFields count="1">
    <dataField name="Suma de Monto" fld="3" baseField="0" baseItem="0" numFmtId="168"/>
  </dataFields>
  <formats count="12">
    <format dxfId="315">
      <pivotArea type="all" dataOnly="0" outline="0" fieldPosition="0"/>
    </format>
    <format dxfId="314">
      <pivotArea outline="0" collapsedLevelsAreSubtotals="1" fieldPosition="0"/>
    </format>
    <format dxfId="313">
      <pivotArea field="0" type="button" dataOnly="0" labelOnly="1" outline="0" axis="axisRow" fieldPosition="0"/>
    </format>
    <format dxfId="312">
      <pivotArea dataOnly="0" labelOnly="1" fieldPosition="0">
        <references count="1">
          <reference field="0" count="0"/>
        </references>
      </pivotArea>
    </format>
    <format dxfId="311">
      <pivotArea dataOnly="0" labelOnly="1" grandRow="1" outline="0" fieldPosition="0"/>
    </format>
    <format dxfId="310">
      <pivotArea dataOnly="0" labelOnly="1" outline="0" axis="axisValues" fieldPosition="0"/>
    </format>
    <format dxfId="309">
      <pivotArea type="all" dataOnly="0" outline="0" fieldPosition="0"/>
    </format>
    <format dxfId="308">
      <pivotArea outline="0" collapsedLevelsAreSubtotals="1" fieldPosition="0"/>
    </format>
    <format dxfId="307">
      <pivotArea field="0" type="button" dataOnly="0" labelOnly="1" outline="0" axis="axisRow" fieldPosition="0"/>
    </format>
    <format dxfId="306">
      <pivotArea dataOnly="0" labelOnly="1" fieldPosition="0">
        <references count="1">
          <reference field="0" count="0"/>
        </references>
      </pivotArea>
    </format>
    <format dxfId="305">
      <pivotArea dataOnly="0" labelOnly="1" grandRow="1" outline="0" fieldPosition="0"/>
    </format>
    <format dxfId="304">
      <pivotArea dataOnly="0" labelOnly="1" outline="0" axis="axisValues" fieldPosition="0"/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E6541-C8FA-4F7D-9B7F-15AB98A84279}" name="TablaDinámica6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L27:M29" firstHeaderRow="1" firstDataRow="1" firstDataCol="1"/>
  <pivotFields count="5">
    <pivotField axis="axisRow" showAll="0">
      <items count="18">
        <item m="1" x="8"/>
        <item m="1" x="4"/>
        <item m="1" x="1"/>
        <item m="1" x="6"/>
        <item m="1" x="3"/>
        <item m="1" x="7"/>
        <item m="1" x="2"/>
        <item m="1" x="5"/>
        <item m="1" x="16"/>
        <item m="1" x="13"/>
        <item m="1" x="14"/>
        <item m="1" x="15"/>
        <item x="0"/>
        <item m="1" x="9"/>
        <item m="1" x="10"/>
        <item m="1" x="11"/>
        <item m="1" x="12"/>
        <item t="default"/>
      </items>
    </pivotField>
    <pivotField showAll="0"/>
    <pivotField showAll="0"/>
    <pivotField dataField="1" showAll="0"/>
    <pivotField showAll="0"/>
  </pivotFields>
  <rowFields count="1">
    <field x="0"/>
  </rowFields>
  <rowItems count="2">
    <i>
      <x v="12"/>
    </i>
    <i t="grand">
      <x/>
    </i>
  </rowItems>
  <colItems count="1">
    <i/>
  </colItems>
  <dataFields count="1">
    <dataField name="Suma de Monto" fld="3" baseField="0" baseItem="0" numFmtId="168"/>
  </dataFields>
  <formats count="6">
    <format dxfId="321">
      <pivotArea type="all" dataOnly="0" outline="0" fieldPosition="0"/>
    </format>
    <format dxfId="320">
      <pivotArea outline="0" collapsedLevelsAreSubtotals="1" fieldPosition="0"/>
    </format>
    <format dxfId="319">
      <pivotArea field="0" type="button" dataOnly="0" labelOnly="1" outline="0" axis="axisRow" fieldPosition="0"/>
    </format>
    <format dxfId="318">
      <pivotArea dataOnly="0" labelOnly="1" fieldPosition="0">
        <references count="1">
          <reference field="0" count="0"/>
        </references>
      </pivotArea>
    </format>
    <format dxfId="317">
      <pivotArea dataOnly="0" labelOnly="1" grandRow="1" outline="0" fieldPosition="0"/>
    </format>
    <format dxfId="316">
      <pivotArea dataOnly="0" labelOnly="1" outline="0" axis="axisValues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CFCAFA-624E-4319-B661-04F04703EF4E}" name="TablaDinámica3" cacheId="17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 rowHeaderCaption="Categoria " colHeaderCaption="Movimiento">
  <location ref="J63:L66" firstHeaderRow="1" firstDataRow="2" firstDataCol="1"/>
  <pivotFields count="8">
    <pivotField axis="axisCol" showAll="0">
      <items count="6">
        <item m="1" x="2"/>
        <item m="1" x="3"/>
        <item m="1" x="1"/>
        <item m="1" x="4"/>
        <item x="0"/>
        <item t="default"/>
      </items>
    </pivotField>
    <pivotField numFmtId="22" showAll="0"/>
    <pivotField axis="axisRow" showAll="0">
      <items count="19">
        <item m="1" x="14"/>
        <item m="1" x="2"/>
        <item m="1" x="16"/>
        <item m="1" x="7"/>
        <item m="1" x="5"/>
        <item m="1" x="1"/>
        <item m="1" x="4"/>
        <item m="1" x="15"/>
        <item m="1" x="6"/>
        <item m="1" x="8"/>
        <item x="0"/>
        <item m="1" x="3"/>
        <item m="1" x="13"/>
        <item m="1" x="17"/>
        <item m="1" x="9"/>
        <item m="1" x="10"/>
        <item m="1" x="11"/>
        <item m="1" x="12"/>
        <item t="default"/>
      </items>
    </pivotField>
    <pivotField showAll="0"/>
    <pivotField dataField="1" numFmtId="166" showAll="0"/>
    <pivotField showAll="0"/>
    <pivotField showAll="0">
      <items count="15">
        <item m="1" x="2"/>
        <item m="1" x="3"/>
        <item m="1" x="4"/>
        <item m="1" x="5"/>
        <item m="1" x="6"/>
        <item m="1" x="7"/>
        <item m="1" x="8"/>
        <item m="1" x="9"/>
        <item m="1" x="1"/>
        <item m="1" x="10"/>
        <item m="1" x="11"/>
        <item m="1" x="12"/>
        <item m="1" x="13"/>
        <item x="0"/>
        <item t="default"/>
      </items>
    </pivotField>
    <pivotField showAll="0">
      <items count="5">
        <item m="1" x="2"/>
        <item m="1" x="3"/>
        <item m="1" x="1"/>
        <item x="0"/>
        <item t="default"/>
      </items>
    </pivotField>
  </pivotFields>
  <rowFields count="1">
    <field x="2"/>
  </rowFields>
  <rowItems count="2">
    <i>
      <x v="10"/>
    </i>
    <i t="grand">
      <x/>
    </i>
  </rowItems>
  <colFields count="1">
    <field x="0"/>
  </colFields>
  <colItems count="2">
    <i>
      <x v="4"/>
    </i>
    <i t="grand">
      <x/>
    </i>
  </colItems>
  <dataFields count="1">
    <dataField name=" " fld="4" baseField="0" baseItem="0" numFmtId="164"/>
  </dataFields>
  <formats count="263">
    <format dxfId="284">
      <pivotArea type="all" dataOnly="0" outline="0" fieldPosition="0"/>
    </format>
    <format dxfId="283">
      <pivotArea field="2" type="button" dataOnly="0" labelOnly="1" outline="0" axis="axisRow" fieldPosition="0"/>
    </format>
    <format dxfId="282">
      <pivotArea dataOnly="0" labelOnly="1" fieldPosition="0">
        <references count="1">
          <reference field="0" count="0"/>
        </references>
      </pivotArea>
    </format>
    <format dxfId="281">
      <pivotArea dataOnly="0" labelOnly="1" grandCol="1" outline="0" fieldPosition="0"/>
    </format>
    <format dxfId="280">
      <pivotArea field="2" type="button" dataOnly="0" labelOnly="1" outline="0" axis="axisRow" fieldPosition="0"/>
    </format>
    <format dxfId="279">
      <pivotArea dataOnly="0" labelOnly="1" fieldPosition="0">
        <references count="1">
          <reference field="0" count="0"/>
        </references>
      </pivotArea>
    </format>
    <format dxfId="278">
      <pivotArea dataOnly="0" labelOnly="1" grandCol="1" outline="0" fieldPosition="0"/>
    </format>
    <format dxfId="277">
      <pivotArea field="2" type="button" dataOnly="0" labelOnly="1" outline="0" axis="axisRow" fieldPosition="0"/>
    </format>
    <format dxfId="276">
      <pivotArea dataOnly="0" labelOnly="1" fieldPosition="0">
        <references count="1">
          <reference field="0" count="0"/>
        </references>
      </pivotArea>
    </format>
    <format dxfId="275">
      <pivotArea dataOnly="0" labelOnly="1" grandCol="1" outline="0" fieldPosition="0"/>
    </format>
    <format dxfId="274">
      <pivotArea type="all" dataOnly="0" outline="0" fieldPosition="0"/>
    </format>
    <format dxfId="273">
      <pivotArea outline="0" collapsedLevelsAreSubtotals="1" fieldPosition="0"/>
    </format>
    <format dxfId="272">
      <pivotArea type="origin" dataOnly="0" labelOnly="1" outline="0" fieldPosition="0"/>
    </format>
    <format dxfId="271">
      <pivotArea field="0" type="button" dataOnly="0" labelOnly="1" outline="0" axis="axisCol" fieldPosition="0"/>
    </format>
    <format dxfId="270">
      <pivotArea type="topRight" dataOnly="0" labelOnly="1" outline="0" fieldPosition="0"/>
    </format>
    <format dxfId="269">
      <pivotArea field="2" type="button" dataOnly="0" labelOnly="1" outline="0" axis="axisRow" fieldPosition="0"/>
    </format>
    <format dxfId="268">
      <pivotArea dataOnly="0" labelOnly="1" fieldPosition="0">
        <references count="1">
          <reference field="2" count="0"/>
        </references>
      </pivotArea>
    </format>
    <format dxfId="267">
      <pivotArea dataOnly="0" labelOnly="1" grandRow="1" outline="0" fieldPosition="0"/>
    </format>
    <format dxfId="266">
      <pivotArea dataOnly="0" labelOnly="1" fieldPosition="0">
        <references count="1">
          <reference field="0" count="0"/>
        </references>
      </pivotArea>
    </format>
    <format dxfId="265">
      <pivotArea dataOnly="0" labelOnly="1" grandCol="1" outline="0" fieldPosition="0"/>
    </format>
    <format dxfId="264">
      <pivotArea type="all" dataOnly="0" outline="0" fieldPosition="0"/>
    </format>
    <format dxfId="263">
      <pivotArea outline="0" collapsedLevelsAreSubtotals="1" fieldPosition="0"/>
    </format>
    <format dxfId="262">
      <pivotArea type="origin" dataOnly="0" labelOnly="1" outline="0" fieldPosition="0"/>
    </format>
    <format dxfId="261">
      <pivotArea field="0" type="button" dataOnly="0" labelOnly="1" outline="0" axis="axisCol" fieldPosition="0"/>
    </format>
    <format dxfId="260">
      <pivotArea type="topRight" dataOnly="0" labelOnly="1" outline="0" fieldPosition="0"/>
    </format>
    <format dxfId="259">
      <pivotArea field="2" type="button" dataOnly="0" labelOnly="1" outline="0" axis="axisRow" fieldPosition="0"/>
    </format>
    <format dxfId="258">
      <pivotArea dataOnly="0" labelOnly="1" fieldPosition="0">
        <references count="1">
          <reference field="2" count="0"/>
        </references>
      </pivotArea>
    </format>
    <format dxfId="257">
      <pivotArea dataOnly="0" labelOnly="1" grandRow="1" outline="0" fieldPosition="0"/>
    </format>
    <format dxfId="256">
      <pivotArea dataOnly="0" labelOnly="1" fieldPosition="0">
        <references count="1">
          <reference field="0" count="0"/>
        </references>
      </pivotArea>
    </format>
    <format dxfId="255">
      <pivotArea dataOnly="0" labelOnly="1" grandCol="1" outline="0" fieldPosition="0"/>
    </format>
    <format dxfId="254">
      <pivotArea type="all" dataOnly="0" outline="0" fieldPosition="0"/>
    </format>
    <format dxfId="253">
      <pivotArea outline="0" collapsedLevelsAreSubtotals="1" fieldPosition="0"/>
    </format>
    <format dxfId="252">
      <pivotArea type="origin" dataOnly="0" labelOnly="1" outline="0" fieldPosition="0"/>
    </format>
    <format dxfId="251">
      <pivotArea field="0" type="button" dataOnly="0" labelOnly="1" outline="0" axis="axisCol" fieldPosition="0"/>
    </format>
    <format dxfId="250">
      <pivotArea type="topRight" dataOnly="0" labelOnly="1" outline="0" fieldPosition="0"/>
    </format>
    <format dxfId="249">
      <pivotArea field="2" type="button" dataOnly="0" labelOnly="1" outline="0" axis="axisRow" fieldPosition="0"/>
    </format>
    <format dxfId="248">
      <pivotArea dataOnly="0" labelOnly="1" fieldPosition="0">
        <references count="1">
          <reference field="2" count="0"/>
        </references>
      </pivotArea>
    </format>
    <format dxfId="247">
      <pivotArea dataOnly="0" labelOnly="1" grandRow="1" outline="0" fieldPosition="0"/>
    </format>
    <format dxfId="246">
      <pivotArea dataOnly="0" labelOnly="1" fieldPosition="0">
        <references count="1">
          <reference field="0" count="0"/>
        </references>
      </pivotArea>
    </format>
    <format dxfId="245">
      <pivotArea dataOnly="0" labelOnly="1" grandCol="1" outline="0" fieldPosition="0"/>
    </format>
    <format dxfId="244">
      <pivotArea type="all" dataOnly="0" outline="0" fieldPosition="0"/>
    </format>
    <format dxfId="243">
      <pivotArea outline="0" collapsedLevelsAreSubtotals="1" fieldPosition="0"/>
    </format>
    <format dxfId="242">
      <pivotArea type="origin" dataOnly="0" labelOnly="1" outline="0" fieldPosition="0"/>
    </format>
    <format dxfId="241">
      <pivotArea field="0" type="button" dataOnly="0" labelOnly="1" outline="0" axis="axisCol" fieldPosition="0"/>
    </format>
    <format dxfId="240">
      <pivotArea type="topRight" dataOnly="0" labelOnly="1" outline="0" fieldPosition="0"/>
    </format>
    <format dxfId="239">
      <pivotArea field="2" type="button" dataOnly="0" labelOnly="1" outline="0" axis="axisRow" fieldPosition="0"/>
    </format>
    <format dxfId="238">
      <pivotArea dataOnly="0" labelOnly="1" fieldPosition="0">
        <references count="1">
          <reference field="2" count="0"/>
        </references>
      </pivotArea>
    </format>
    <format dxfId="237">
      <pivotArea dataOnly="0" labelOnly="1" grandRow="1" outline="0" fieldPosition="0"/>
    </format>
    <format dxfId="236">
      <pivotArea dataOnly="0" labelOnly="1" fieldPosition="0">
        <references count="1">
          <reference field="0" count="0"/>
        </references>
      </pivotArea>
    </format>
    <format dxfId="235">
      <pivotArea dataOnly="0" labelOnly="1" grandCol="1" outline="0" fieldPosition="0"/>
    </format>
    <format dxfId="234">
      <pivotArea type="all" dataOnly="0" outline="0" fieldPosition="0"/>
    </format>
    <format dxfId="233">
      <pivotArea outline="0" collapsedLevelsAreSubtotals="1" fieldPosition="0"/>
    </format>
    <format dxfId="232">
      <pivotArea type="origin" dataOnly="0" labelOnly="1" outline="0" fieldPosition="0"/>
    </format>
    <format dxfId="231">
      <pivotArea field="0" type="button" dataOnly="0" labelOnly="1" outline="0" axis="axisCol" fieldPosition="0"/>
    </format>
    <format dxfId="230">
      <pivotArea type="topRight" dataOnly="0" labelOnly="1" outline="0" fieldPosition="0"/>
    </format>
    <format dxfId="229">
      <pivotArea field="2" type="button" dataOnly="0" labelOnly="1" outline="0" axis="axisRow" fieldPosition="0"/>
    </format>
    <format dxfId="228">
      <pivotArea dataOnly="0" labelOnly="1" fieldPosition="0">
        <references count="1">
          <reference field="2" count="0"/>
        </references>
      </pivotArea>
    </format>
    <format dxfId="227">
      <pivotArea dataOnly="0" labelOnly="1" grandRow="1" outline="0" fieldPosition="0"/>
    </format>
    <format dxfId="226">
      <pivotArea dataOnly="0" labelOnly="1" fieldPosition="0">
        <references count="1">
          <reference field="0" count="0"/>
        </references>
      </pivotArea>
    </format>
    <format dxfId="225">
      <pivotArea dataOnly="0" labelOnly="1" grandCol="1" outline="0" fieldPosition="0"/>
    </format>
    <format dxfId="224">
      <pivotArea type="all" dataOnly="0" outline="0" fieldPosition="0"/>
    </format>
    <format dxfId="223">
      <pivotArea outline="0" collapsedLevelsAreSubtotals="1" fieldPosition="0"/>
    </format>
    <format dxfId="222">
      <pivotArea type="origin" dataOnly="0" labelOnly="1" outline="0" fieldPosition="0"/>
    </format>
    <format dxfId="221">
      <pivotArea field="0" type="button" dataOnly="0" labelOnly="1" outline="0" axis="axisCol" fieldPosition="0"/>
    </format>
    <format dxfId="220">
      <pivotArea type="topRight" dataOnly="0" labelOnly="1" outline="0" fieldPosition="0"/>
    </format>
    <format dxfId="219">
      <pivotArea field="2" type="button" dataOnly="0" labelOnly="1" outline="0" axis="axisRow" fieldPosition="0"/>
    </format>
    <format dxfId="218">
      <pivotArea dataOnly="0" labelOnly="1" fieldPosition="0">
        <references count="1">
          <reference field="2" count="0"/>
        </references>
      </pivotArea>
    </format>
    <format dxfId="217">
      <pivotArea dataOnly="0" labelOnly="1" grandRow="1" outline="0" fieldPosition="0"/>
    </format>
    <format dxfId="216">
      <pivotArea dataOnly="0" labelOnly="1" fieldPosition="0">
        <references count="1">
          <reference field="0" count="0"/>
        </references>
      </pivotArea>
    </format>
    <format dxfId="215">
      <pivotArea dataOnly="0" labelOnly="1" grandCol="1" outline="0" fieldPosition="0"/>
    </format>
    <format dxfId="214">
      <pivotArea type="all" dataOnly="0" outline="0" fieldPosition="0"/>
    </format>
    <format dxfId="213">
      <pivotArea outline="0" collapsedLevelsAreSubtotals="1" fieldPosition="0"/>
    </format>
    <format dxfId="212">
      <pivotArea type="origin" dataOnly="0" labelOnly="1" outline="0" fieldPosition="0"/>
    </format>
    <format dxfId="211">
      <pivotArea field="0" type="button" dataOnly="0" labelOnly="1" outline="0" axis="axisCol" fieldPosition="0"/>
    </format>
    <format dxfId="210">
      <pivotArea type="topRight" dataOnly="0" labelOnly="1" outline="0" fieldPosition="0"/>
    </format>
    <format dxfId="209">
      <pivotArea field="2" type="button" dataOnly="0" labelOnly="1" outline="0" axis="axisRow" fieldPosition="0"/>
    </format>
    <format dxfId="208">
      <pivotArea dataOnly="0" labelOnly="1" fieldPosition="0">
        <references count="1">
          <reference field="2" count="0"/>
        </references>
      </pivotArea>
    </format>
    <format dxfId="207">
      <pivotArea dataOnly="0" labelOnly="1" grandRow="1" outline="0" fieldPosition="0"/>
    </format>
    <format dxfId="206">
      <pivotArea dataOnly="0" labelOnly="1" fieldPosition="0">
        <references count="1">
          <reference field="0" count="0"/>
        </references>
      </pivotArea>
    </format>
    <format dxfId="205">
      <pivotArea dataOnly="0" labelOnly="1" grandCol="1" outline="0" fieldPosition="0"/>
    </format>
    <format dxfId="204">
      <pivotArea type="all" dataOnly="0" outline="0" fieldPosition="0"/>
    </format>
    <format dxfId="203">
      <pivotArea outline="0" collapsedLevelsAreSubtotals="1" fieldPosition="0"/>
    </format>
    <format dxfId="202">
      <pivotArea type="origin" dataOnly="0" labelOnly="1" outline="0" fieldPosition="0"/>
    </format>
    <format dxfId="201">
      <pivotArea field="0" type="button" dataOnly="0" labelOnly="1" outline="0" axis="axisCol" fieldPosition="0"/>
    </format>
    <format dxfId="200">
      <pivotArea type="topRight" dataOnly="0" labelOnly="1" outline="0" fieldPosition="0"/>
    </format>
    <format dxfId="199">
      <pivotArea field="2" type="button" dataOnly="0" labelOnly="1" outline="0" axis="axisRow" fieldPosition="0"/>
    </format>
    <format dxfId="198">
      <pivotArea dataOnly="0" labelOnly="1" fieldPosition="0">
        <references count="1">
          <reference field="2" count="0"/>
        </references>
      </pivotArea>
    </format>
    <format dxfId="197">
      <pivotArea dataOnly="0" labelOnly="1" grandRow="1" outline="0" fieldPosition="0"/>
    </format>
    <format dxfId="196">
      <pivotArea dataOnly="0" labelOnly="1" fieldPosition="0">
        <references count="1">
          <reference field="0" count="0"/>
        </references>
      </pivotArea>
    </format>
    <format dxfId="195">
      <pivotArea dataOnly="0" labelOnly="1" grandCol="1" outline="0" fieldPosition="0"/>
    </format>
    <format dxfId="194">
      <pivotArea type="all" dataOnly="0" outline="0" fieldPosition="0"/>
    </format>
    <format dxfId="193">
      <pivotArea outline="0" collapsedLevelsAreSubtotals="1" fieldPosition="0"/>
    </format>
    <format dxfId="192">
      <pivotArea type="origin" dataOnly="0" labelOnly="1" outline="0" fieldPosition="0"/>
    </format>
    <format dxfId="191">
      <pivotArea field="0" type="button" dataOnly="0" labelOnly="1" outline="0" axis="axisCol" fieldPosition="0"/>
    </format>
    <format dxfId="190">
      <pivotArea type="topRight" dataOnly="0" labelOnly="1" outline="0" fieldPosition="0"/>
    </format>
    <format dxfId="189">
      <pivotArea field="2" type="button" dataOnly="0" labelOnly="1" outline="0" axis="axisRow" fieldPosition="0"/>
    </format>
    <format dxfId="188">
      <pivotArea dataOnly="0" labelOnly="1" fieldPosition="0">
        <references count="1">
          <reference field="2" count="0"/>
        </references>
      </pivotArea>
    </format>
    <format dxfId="187">
      <pivotArea dataOnly="0" labelOnly="1" grandRow="1" outline="0" fieldPosition="0"/>
    </format>
    <format dxfId="186">
      <pivotArea dataOnly="0" labelOnly="1" fieldPosition="0">
        <references count="1">
          <reference field="0" count="0"/>
        </references>
      </pivotArea>
    </format>
    <format dxfId="185">
      <pivotArea dataOnly="0" labelOnly="1" grandCol="1" outline="0" fieldPosition="0"/>
    </format>
    <format dxfId="184">
      <pivotArea type="all" dataOnly="0" outline="0" fieldPosition="0"/>
    </format>
    <format dxfId="183">
      <pivotArea outline="0" collapsedLevelsAreSubtotals="1" fieldPosition="0"/>
    </format>
    <format dxfId="182">
      <pivotArea type="origin" dataOnly="0" labelOnly="1" outline="0" fieldPosition="0"/>
    </format>
    <format dxfId="181">
      <pivotArea field="0" type="button" dataOnly="0" labelOnly="1" outline="0" axis="axisCol" fieldPosition="0"/>
    </format>
    <format dxfId="180">
      <pivotArea type="topRight" dataOnly="0" labelOnly="1" outline="0" fieldPosition="0"/>
    </format>
    <format dxfId="179">
      <pivotArea field="2" type="button" dataOnly="0" labelOnly="1" outline="0" axis="axisRow" fieldPosition="0"/>
    </format>
    <format dxfId="178">
      <pivotArea dataOnly="0" labelOnly="1" fieldPosition="0">
        <references count="1">
          <reference field="2" count="0"/>
        </references>
      </pivotArea>
    </format>
    <format dxfId="177">
      <pivotArea dataOnly="0" labelOnly="1" grandRow="1" outline="0" fieldPosition="0"/>
    </format>
    <format dxfId="176">
      <pivotArea dataOnly="0" labelOnly="1" fieldPosition="0">
        <references count="1">
          <reference field="0" count="0"/>
        </references>
      </pivotArea>
    </format>
    <format dxfId="175">
      <pivotArea dataOnly="0" labelOnly="1" grandCol="1" outline="0" fieldPosition="0"/>
    </format>
    <format dxfId="174">
      <pivotArea type="all" dataOnly="0" outline="0" fieldPosition="0"/>
    </format>
    <format dxfId="173">
      <pivotArea outline="0" collapsedLevelsAreSubtotals="1" fieldPosition="0"/>
    </format>
    <format dxfId="172">
      <pivotArea type="origin" dataOnly="0" labelOnly="1" outline="0" fieldPosition="0"/>
    </format>
    <format dxfId="171">
      <pivotArea field="0" type="button" dataOnly="0" labelOnly="1" outline="0" axis="axisCol" fieldPosition="0"/>
    </format>
    <format dxfId="170">
      <pivotArea type="topRight" dataOnly="0" labelOnly="1" outline="0" fieldPosition="0"/>
    </format>
    <format dxfId="169">
      <pivotArea field="2" type="button" dataOnly="0" labelOnly="1" outline="0" axis="axisRow" fieldPosition="0"/>
    </format>
    <format dxfId="168">
      <pivotArea dataOnly="0" labelOnly="1" fieldPosition="0">
        <references count="1">
          <reference field="2" count="0"/>
        </references>
      </pivotArea>
    </format>
    <format dxfId="167">
      <pivotArea dataOnly="0" labelOnly="1" grandRow="1" outline="0" fieldPosition="0"/>
    </format>
    <format dxfId="166">
      <pivotArea dataOnly="0" labelOnly="1" fieldPosition="0">
        <references count="1">
          <reference field="0" count="0"/>
        </references>
      </pivotArea>
    </format>
    <format dxfId="165">
      <pivotArea dataOnly="0" labelOnly="1" grandCol="1" outline="0" fieldPosition="0"/>
    </format>
    <format dxfId="164">
      <pivotArea type="all" dataOnly="0" outline="0" fieldPosition="0"/>
    </format>
    <format dxfId="163">
      <pivotArea outline="0" collapsedLevelsAreSubtotals="1" fieldPosition="0"/>
    </format>
    <format dxfId="162">
      <pivotArea type="origin" dataOnly="0" labelOnly="1" outline="0" fieldPosition="0"/>
    </format>
    <format dxfId="161">
      <pivotArea field="0" type="button" dataOnly="0" labelOnly="1" outline="0" axis="axisCol" fieldPosition="0"/>
    </format>
    <format dxfId="160">
      <pivotArea type="topRight" dataOnly="0" labelOnly="1" outline="0" fieldPosition="0"/>
    </format>
    <format dxfId="159">
      <pivotArea field="2" type="button" dataOnly="0" labelOnly="1" outline="0" axis="axisRow" fieldPosition="0"/>
    </format>
    <format dxfId="158">
      <pivotArea dataOnly="0" labelOnly="1" fieldPosition="0">
        <references count="1">
          <reference field="2" count="0"/>
        </references>
      </pivotArea>
    </format>
    <format dxfId="157">
      <pivotArea dataOnly="0" labelOnly="1" grandRow="1" outline="0" fieldPosition="0"/>
    </format>
    <format dxfId="156">
      <pivotArea dataOnly="0" labelOnly="1" fieldPosition="0">
        <references count="1">
          <reference field="0" count="0"/>
        </references>
      </pivotArea>
    </format>
    <format dxfId="155">
      <pivotArea dataOnly="0" labelOnly="1" grandCol="1" outline="0" fieldPosition="0"/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type="origin" dataOnly="0" labelOnly="1" outline="0" fieldPosition="0"/>
    </format>
    <format dxfId="151">
      <pivotArea field="0" type="button" dataOnly="0" labelOnly="1" outline="0" axis="axisCol" fieldPosition="0"/>
    </format>
    <format dxfId="150">
      <pivotArea type="topRight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grandRow="1" outline="0" fieldPosition="0"/>
    </format>
    <format dxfId="146">
      <pivotArea dataOnly="0" labelOnly="1" fieldPosition="0">
        <references count="1">
          <reference field="0" count="0"/>
        </references>
      </pivotArea>
    </format>
    <format dxfId="145">
      <pivotArea dataOnly="0" labelOnly="1" grandCol="1" outline="0" fieldPosition="0"/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type="origin" dataOnly="0" labelOnly="1" outline="0" fieldPosition="0"/>
    </format>
    <format dxfId="141">
      <pivotArea field="0" type="button" dataOnly="0" labelOnly="1" outline="0" axis="axisCol" fieldPosition="0"/>
    </format>
    <format dxfId="140">
      <pivotArea type="topRight" dataOnly="0" labelOnly="1" outline="0" fieldPosition="0"/>
    </format>
    <format dxfId="139">
      <pivotArea field="2" type="button" dataOnly="0" labelOnly="1" outline="0" axis="axisRow" fieldPosition="0"/>
    </format>
    <format dxfId="138">
      <pivotArea dataOnly="0" labelOnly="1" fieldPosition="0">
        <references count="1">
          <reference field="2" count="0"/>
        </references>
      </pivotArea>
    </format>
    <format dxfId="137">
      <pivotArea dataOnly="0" labelOnly="1" grandRow="1" outline="0" fieldPosition="0"/>
    </format>
    <format dxfId="136">
      <pivotArea dataOnly="0" labelOnly="1" fieldPosition="0">
        <references count="1">
          <reference field="0" count="0"/>
        </references>
      </pivotArea>
    </format>
    <format dxfId="135">
      <pivotArea dataOnly="0" labelOnly="1" grandCol="1" outline="0" fieldPosition="0"/>
    </format>
    <format dxfId="134">
      <pivotArea type="all" dataOnly="0" outline="0" fieldPosition="0"/>
    </format>
    <format dxfId="133">
      <pivotArea outline="0" collapsedLevelsAreSubtotals="1" fieldPosition="0"/>
    </format>
    <format dxfId="132">
      <pivotArea type="origin" dataOnly="0" labelOnly="1" outline="0" fieldPosition="0"/>
    </format>
    <format dxfId="131">
      <pivotArea field="0" type="button" dataOnly="0" labelOnly="1" outline="0" axis="axisCol" fieldPosition="0"/>
    </format>
    <format dxfId="130">
      <pivotArea type="topRight" dataOnly="0" labelOnly="1" outline="0" fieldPosition="0"/>
    </format>
    <format dxfId="129">
      <pivotArea field="2" type="button" dataOnly="0" labelOnly="1" outline="0" axis="axisRow" fieldPosition="0"/>
    </format>
    <format dxfId="128">
      <pivotArea dataOnly="0" labelOnly="1" fieldPosition="0">
        <references count="1">
          <reference field="2" count="0"/>
        </references>
      </pivotArea>
    </format>
    <format dxfId="127">
      <pivotArea dataOnly="0" labelOnly="1" grandRow="1" outline="0" fieldPosition="0"/>
    </format>
    <format dxfId="126">
      <pivotArea dataOnly="0" labelOnly="1" fieldPosition="0">
        <references count="1">
          <reference field="0" count="0"/>
        </references>
      </pivotArea>
    </format>
    <format dxfId="125">
      <pivotArea dataOnly="0" labelOnly="1" grandCol="1" outline="0" fieldPosition="0"/>
    </format>
    <format dxfId="124">
      <pivotArea type="all" dataOnly="0" outline="0" fieldPosition="0"/>
    </format>
    <format dxfId="123">
      <pivotArea outline="0" collapsedLevelsAreSubtotals="1" fieldPosition="0"/>
    </format>
    <format dxfId="122">
      <pivotArea type="origin" dataOnly="0" labelOnly="1" outline="0" fieldPosition="0"/>
    </format>
    <format dxfId="121">
      <pivotArea field="0" type="button" dataOnly="0" labelOnly="1" outline="0" axis="axisCol" fieldPosition="0"/>
    </format>
    <format dxfId="120">
      <pivotArea type="topRight" dataOnly="0" labelOnly="1" outline="0" fieldPosition="0"/>
    </format>
    <format dxfId="119">
      <pivotArea field="2" type="button" dataOnly="0" labelOnly="1" outline="0" axis="axisRow" fieldPosition="0"/>
    </format>
    <format dxfId="118">
      <pivotArea dataOnly="0" labelOnly="1" fieldPosition="0">
        <references count="1">
          <reference field="2" count="0"/>
        </references>
      </pivotArea>
    </format>
    <format dxfId="117">
      <pivotArea dataOnly="0" labelOnly="1" grandRow="1" outline="0" fieldPosition="0"/>
    </format>
    <format dxfId="116">
      <pivotArea dataOnly="0" labelOnly="1" fieldPosition="0">
        <references count="1">
          <reference field="0" count="0"/>
        </references>
      </pivotArea>
    </format>
    <format dxfId="115">
      <pivotArea dataOnly="0" labelOnly="1" grandCol="1" outline="0" fieldPosition="0"/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type="origin" dataOnly="0" labelOnly="1" outline="0" fieldPosition="0"/>
    </format>
    <format dxfId="111">
      <pivotArea field="0" type="button" dataOnly="0" labelOnly="1" outline="0" axis="axisCol" fieldPosition="0"/>
    </format>
    <format dxfId="110">
      <pivotArea type="topRight" dataOnly="0" labelOnly="1" outline="0" fieldPosition="0"/>
    </format>
    <format dxfId="109">
      <pivotArea field="2" type="button" dataOnly="0" labelOnly="1" outline="0" axis="axisRow" fieldPosition="0"/>
    </format>
    <format dxfId="108">
      <pivotArea dataOnly="0" labelOnly="1" fieldPosition="0">
        <references count="1">
          <reference field="2" count="0"/>
        </references>
      </pivotArea>
    </format>
    <format dxfId="107">
      <pivotArea dataOnly="0" labelOnly="1" grandRow="1" outline="0" fieldPosition="0"/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grandCol="1" outline="0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type="origin" dataOnly="0" labelOnly="1" outline="0" fieldPosition="0"/>
    </format>
    <format dxfId="101">
      <pivotArea field="0" type="button" dataOnly="0" labelOnly="1" outline="0" axis="axisCol" fieldPosition="0"/>
    </format>
    <format dxfId="100">
      <pivotArea type="topRight" dataOnly="0" labelOnly="1" outline="0" fieldPosition="0"/>
    </format>
    <format dxfId="99">
      <pivotArea field="2" type="button" dataOnly="0" labelOnly="1" outline="0" axis="axisRow" fieldPosition="0"/>
    </format>
    <format dxfId="98">
      <pivotArea dataOnly="0" labelOnly="1" fieldPosition="0">
        <references count="1">
          <reference field="2" count="0"/>
        </references>
      </pivotArea>
    </format>
    <format dxfId="97">
      <pivotArea dataOnly="0" labelOnly="1" grandRow="1" outline="0" fieldPosition="0"/>
    </format>
    <format dxfId="96">
      <pivotArea dataOnly="0" labelOnly="1" fieldPosition="0">
        <references count="1">
          <reference field="0" count="0"/>
        </references>
      </pivotArea>
    </format>
    <format dxfId="95">
      <pivotArea dataOnly="0" labelOnly="1" grandCol="1" outline="0" fieldPosition="0"/>
    </format>
    <format dxfId="94">
      <pivotArea type="all" dataOnly="0" outline="0" fieldPosition="0"/>
    </format>
    <format dxfId="93">
      <pivotArea outline="0" collapsedLevelsAreSubtotals="1" fieldPosition="0"/>
    </format>
    <format dxfId="92">
      <pivotArea type="origin" dataOnly="0" labelOnly="1" outline="0" fieldPosition="0"/>
    </format>
    <format dxfId="91">
      <pivotArea field="0" type="button" dataOnly="0" labelOnly="1" outline="0" axis="axisCol" fieldPosition="0"/>
    </format>
    <format dxfId="90">
      <pivotArea type="topRight" dataOnly="0" labelOnly="1" outline="0" fieldPosition="0"/>
    </format>
    <format dxfId="89">
      <pivotArea field="2" type="button" dataOnly="0" labelOnly="1" outline="0" axis="axisRow" fieldPosition="0"/>
    </format>
    <format dxfId="88">
      <pivotArea dataOnly="0" labelOnly="1" fieldPosition="0">
        <references count="1">
          <reference field="2" count="0"/>
        </references>
      </pivotArea>
    </format>
    <format dxfId="87">
      <pivotArea dataOnly="0" labelOnly="1" grandRow="1" outline="0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Col="1" outline="0" fieldPosition="0"/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type="origin" dataOnly="0" labelOnly="1" outline="0" fieldPosition="0"/>
    </format>
    <format dxfId="81">
      <pivotArea field="0" type="button" dataOnly="0" labelOnly="1" outline="0" axis="axisCol" fieldPosition="0"/>
    </format>
    <format dxfId="80">
      <pivotArea type="topRight" dataOnly="0" labelOnly="1" outline="0" fieldPosition="0"/>
    </format>
    <format dxfId="79">
      <pivotArea field="2" type="button" dataOnly="0" labelOnly="1" outline="0" axis="axisRow" fieldPosition="0"/>
    </format>
    <format dxfId="78">
      <pivotArea dataOnly="0" labelOnly="1" fieldPosition="0">
        <references count="1">
          <reference field="2" count="0"/>
        </references>
      </pivotArea>
    </format>
    <format dxfId="77">
      <pivotArea dataOnly="0" labelOnly="1" grandRow="1" outline="0" fieldPosition="0"/>
    </format>
    <format dxfId="76">
      <pivotArea dataOnly="0" labelOnly="1" fieldPosition="0">
        <references count="1">
          <reference field="0" count="0"/>
        </references>
      </pivotArea>
    </format>
    <format dxfId="75">
      <pivotArea dataOnly="0" labelOnly="1" grandCol="1" outline="0" fieldPosition="0"/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type="origin" dataOnly="0" labelOnly="1" outline="0" fieldPosition="0"/>
    </format>
    <format dxfId="71">
      <pivotArea field="0" type="button" dataOnly="0" labelOnly="1" outline="0" axis="axisCol" fieldPosition="0"/>
    </format>
    <format dxfId="70">
      <pivotArea type="topRight" dataOnly="0" labelOnly="1" outline="0" fieldPosition="0"/>
    </format>
    <format dxfId="69">
      <pivotArea field="2" type="button" dataOnly="0" labelOnly="1" outline="0" axis="axisRow" fieldPosition="0"/>
    </format>
    <format dxfId="68">
      <pivotArea dataOnly="0" labelOnly="1" fieldPosition="0">
        <references count="1">
          <reference field="2" count="0"/>
        </references>
      </pivotArea>
    </format>
    <format dxfId="67">
      <pivotArea dataOnly="0" labelOnly="1" grandRow="1" outline="0" fieldPosition="0"/>
    </format>
    <format dxfId="66">
      <pivotArea dataOnly="0" labelOnly="1" fieldPosition="0">
        <references count="1">
          <reference field="0" count="0"/>
        </references>
      </pivotArea>
    </format>
    <format dxfId="65">
      <pivotArea dataOnly="0" labelOnly="1" grandCol="1" outline="0" fieldPosition="0"/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type="origin" dataOnly="0" labelOnly="1" outline="0" fieldPosition="0"/>
    </format>
    <format dxfId="61">
      <pivotArea field="0" type="button" dataOnly="0" labelOnly="1" outline="0" axis="axisCol" fieldPosition="0"/>
    </format>
    <format dxfId="60">
      <pivotArea type="topRight" dataOnly="0" labelOnly="1" outline="0" fieldPosition="0"/>
    </format>
    <format dxfId="59">
      <pivotArea field="2" type="button" dataOnly="0" labelOnly="1" outline="0" axis="axisRow" fieldPosition="0"/>
    </format>
    <format dxfId="58">
      <pivotArea dataOnly="0" labelOnly="1" fieldPosition="0">
        <references count="1">
          <reference field="2" count="0"/>
        </references>
      </pivotArea>
    </format>
    <format dxfId="57">
      <pivotArea dataOnly="0" labelOnly="1" grandRow="1" outline="0" fieldPosition="0"/>
    </format>
    <format dxfId="56">
      <pivotArea dataOnly="0" labelOnly="1" fieldPosition="0">
        <references count="1">
          <reference field="0" count="0"/>
        </references>
      </pivotArea>
    </format>
    <format dxfId="55">
      <pivotArea dataOnly="0" labelOnly="1" grandCol="1" outline="0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type="origin" dataOnly="0" labelOnly="1" outline="0" fieldPosition="0"/>
    </format>
    <format dxfId="51">
      <pivotArea field="0" type="button" dataOnly="0" labelOnly="1" outline="0" axis="axisCol" fieldPosition="0"/>
    </format>
    <format dxfId="50">
      <pivotArea type="topRight" dataOnly="0" labelOnly="1" outline="0" fieldPosition="0"/>
    </format>
    <format dxfId="49">
      <pivotArea field="2" type="button" dataOnly="0" labelOnly="1" outline="0" axis="axisRow" fieldPosition="0"/>
    </format>
    <format dxfId="48">
      <pivotArea dataOnly="0" labelOnly="1" fieldPosition="0">
        <references count="1">
          <reference field="2" count="0"/>
        </references>
      </pivotArea>
    </format>
    <format dxfId="47">
      <pivotArea dataOnly="0" labelOnly="1" grandRow="1" outline="0" fieldPosition="0"/>
    </format>
    <format dxfId="46">
      <pivotArea dataOnly="0" labelOnly="1" fieldPosition="0">
        <references count="1">
          <reference field="0" count="0"/>
        </references>
      </pivotArea>
    </format>
    <format dxfId="45">
      <pivotArea dataOnly="0" labelOnly="1" grandCol="1" outline="0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type="origin" dataOnly="0" labelOnly="1" outline="0" fieldPosition="0"/>
    </format>
    <format dxfId="41">
      <pivotArea field="0" type="button" dataOnly="0" labelOnly="1" outline="0" axis="axisCol" fieldPosition="0"/>
    </format>
    <format dxfId="40">
      <pivotArea type="topRight" dataOnly="0" labelOnly="1" outline="0" fieldPosition="0"/>
    </format>
    <format dxfId="39">
      <pivotArea field="2" type="button" dataOnly="0" labelOnly="1" outline="0" axis="axisRow" fieldPosition="0"/>
    </format>
    <format dxfId="38">
      <pivotArea dataOnly="0" labelOnly="1" fieldPosition="0">
        <references count="1">
          <reference field="2" count="0"/>
        </references>
      </pivotArea>
    </format>
    <format dxfId="37">
      <pivotArea dataOnly="0" labelOnly="1" grandRow="1" outline="0" fieldPosition="0"/>
    </format>
    <format dxfId="36">
      <pivotArea dataOnly="0" labelOnly="1" fieldPosition="0">
        <references count="1">
          <reference field="0" count="0"/>
        </references>
      </pivotArea>
    </format>
    <format dxfId="35">
      <pivotArea dataOnly="0" labelOnly="1" grandCol="1" outline="0" fieldPosition="0"/>
    </format>
    <format dxfId="34">
      <pivotArea type="all" dataOnly="0" outline="0" fieldPosition="0"/>
    </format>
    <format dxfId="33">
      <pivotArea field="0" type="button" dataOnly="0" labelOnly="1" outline="0" axis="axisCol" fieldPosition="0"/>
    </format>
    <format dxfId="32">
      <pivotArea field="0" type="button" dataOnly="0" labelOnly="1" outline="0" axis="axisCol" fieldPosition="0"/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type="origin" dataOnly="0" labelOnly="1" outline="0" fieldPosition="0"/>
    </format>
    <format dxfId="28">
      <pivotArea field="0" type="button" dataOnly="0" labelOnly="1" outline="0" axis="axisCol" fieldPosition="0"/>
    </format>
    <format dxfId="27">
      <pivotArea type="topRight" dataOnly="0" labelOnly="1" outline="0" fieldPosition="0"/>
    </format>
    <format dxfId="26">
      <pivotArea field="2" type="button" dataOnly="0" labelOnly="1" outline="0" axis="axisRow" fieldPosition="0"/>
    </format>
    <format dxfId="25">
      <pivotArea dataOnly="0" labelOnly="1" fieldPosition="0">
        <references count="1">
          <reference field="2" count="0"/>
        </references>
      </pivotArea>
    </format>
    <format dxfId="24">
      <pivotArea dataOnly="0" labelOnly="1" grandRow="1" outline="0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9C026B-00C2-4E89-A007-8034145A5B6D}" name="TablaDinámica2" cacheId="17" applyNumberFormats="0" applyBorderFormats="0" applyFontFormats="0" applyPatternFormats="0" applyAlignmentFormats="0" applyWidthHeightFormats="1" dataCaption="Valores" updatedVersion="8" minRefreshableVersion="3" preserveFormatting="0" itemPrintTitles="1" createdVersion="8" indent="0" outline="1" outlineData="1" multipleFieldFilters="0" chartFormat="21">
  <location ref="O44:P45" firstHeaderRow="1" firstDataRow="1" firstDataCol="1" rowPageCount="1" colPageCount="1"/>
  <pivotFields count="8">
    <pivotField axis="axisPage" multipleItemSelectionAllowed="1" showAll="0">
      <items count="6">
        <item m="1" x="3"/>
        <item h="1" m="1" x="2"/>
        <item h="1" m="1" x="1"/>
        <item h="1" m="1" x="4"/>
        <item h="1" x="0"/>
        <item t="default"/>
      </items>
    </pivotField>
    <pivotField numFmtId="22" showAll="0"/>
    <pivotField axis="axisRow" showAll="0">
      <items count="19">
        <item m="1" x="14"/>
        <item m="1" x="2"/>
        <item m="1" x="16"/>
        <item m="1" x="7"/>
        <item m="1" x="5"/>
        <item m="1" x="1"/>
        <item m="1" x="4"/>
        <item m="1" x="15"/>
        <item m="1" x="6"/>
        <item m="1" x="8"/>
        <item x="0"/>
        <item m="1" x="3"/>
        <item m="1" x="13"/>
        <item m="1" x="17"/>
        <item m="1" x="9"/>
        <item m="1" x="10"/>
        <item m="1" x="11"/>
        <item m="1" x="12"/>
        <item t="default"/>
      </items>
    </pivotField>
    <pivotField showAll="0"/>
    <pivotField dataField="1" numFmtId="166" showAll="0"/>
    <pivotField showAll="0"/>
    <pivotField showAll="0">
      <items count="15">
        <item m="1" x="2"/>
        <item m="1" x="3"/>
        <item m="1" x="4"/>
        <item m="1" x="5"/>
        <item m="1" x="6"/>
        <item m="1" x="7"/>
        <item m="1" x="8"/>
        <item m="1" x="9"/>
        <item m="1" x="1"/>
        <item m="1" x="10"/>
        <item m="1" x="11"/>
        <item m="1" x="12"/>
        <item m="1" x="13"/>
        <item x="0"/>
        <item t="default"/>
      </items>
    </pivotField>
    <pivotField showAll="0">
      <items count="5">
        <item m="1" x="2"/>
        <item m="1" x="3"/>
        <item m="1" x="1"/>
        <item x="0"/>
        <item t="default"/>
      </items>
    </pivotField>
  </pivotFields>
  <rowFields count="1">
    <field x="2"/>
  </rowFields>
  <rowItems count="1">
    <i t="grand">
      <x/>
    </i>
  </rowItems>
  <colItems count="1">
    <i/>
  </colItems>
  <pageFields count="1">
    <pageField fld="0" hier="-1"/>
  </pageFields>
  <dataFields count="1">
    <dataField name="Suma de Monto" fld="4" baseField="0" baseItem="0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15B3B2-41DF-4C33-AD30-E6B2786B8AF4}" name="TablaDinámica1" cacheId="17" applyNumberFormats="0" applyBorderFormats="0" applyFontFormats="0" applyPatternFormats="0" applyAlignmentFormats="0" applyWidthHeightFormats="1" dataCaption="Valores" updatedVersion="8" minRefreshableVersion="3" preserveFormatting="0" itemPrintTitles="1" createdVersion="8" indent="0" outline="1" outlineData="1" multipleFieldFilters="0" chartFormat="47">
  <location ref="K44:L45" firstHeaderRow="1" firstDataRow="1" firstDataCol="1" rowPageCount="1" colPageCount="1"/>
  <pivotFields count="8">
    <pivotField axis="axisPage" multipleItemSelectionAllowed="1" showAll="0">
      <items count="6">
        <item h="1" m="1" x="3"/>
        <item m="1" x="2"/>
        <item h="1" m="1" x="1"/>
        <item h="1" m="1" x="4"/>
        <item h="1" x="0"/>
        <item t="default"/>
      </items>
    </pivotField>
    <pivotField numFmtId="22" showAll="0"/>
    <pivotField axis="axisRow" showAll="0">
      <items count="19">
        <item m="1" x="14"/>
        <item m="1" x="2"/>
        <item m="1" x="16"/>
        <item m="1" x="7"/>
        <item m="1" x="5"/>
        <item m="1" x="1"/>
        <item m="1" x="4"/>
        <item m="1" x="15"/>
        <item m="1" x="6"/>
        <item m="1" x="8"/>
        <item x="0"/>
        <item m="1" x="3"/>
        <item m="1" x="13"/>
        <item m="1" x="17"/>
        <item m="1" x="9"/>
        <item m="1" x="10"/>
        <item m="1" x="11"/>
        <item m="1" x="12"/>
        <item t="default"/>
      </items>
    </pivotField>
    <pivotField showAll="0"/>
    <pivotField dataField="1" numFmtId="166" showAll="0"/>
    <pivotField showAll="0"/>
    <pivotField showAll="0">
      <items count="15">
        <item m="1" x="2"/>
        <item m="1" x="3"/>
        <item m="1" x="4"/>
        <item m="1" x="5"/>
        <item m="1" x="6"/>
        <item m="1" x="7"/>
        <item m="1" x="8"/>
        <item m="1" x="9"/>
        <item m="1" x="1"/>
        <item m="1" x="10"/>
        <item m="1" x="11"/>
        <item m="1" x="12"/>
        <item m="1" x="13"/>
        <item x="0"/>
        <item t="default"/>
      </items>
    </pivotField>
    <pivotField showAll="0">
      <items count="5">
        <item m="1" x="2"/>
        <item m="1" x="3"/>
        <item m="1" x="1"/>
        <item x="0"/>
        <item t="default"/>
      </items>
    </pivotField>
  </pivotFields>
  <rowFields count="1">
    <field x="2"/>
  </rowFields>
  <rowItems count="1">
    <i t="grand">
      <x/>
    </i>
  </rowItems>
  <colItems count="1">
    <i/>
  </colItems>
  <pageFields count="1">
    <pageField fld="0" hier="-1"/>
  </pageFields>
  <dataFields count="1">
    <dataField name="Suma de Monto" fld="4" baseField="0" baseItem="0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DC95FE13-6A70-4313-AE50-CFBB51F67594}" sourceName="AÑO">
  <pivotTables>
    <pivotTable tabId="1" name="TablaDinámica7"/>
  </pivotTables>
  <data>
    <tabular pivotCacheId="475470214">
      <items count="4">
        <i x="2" s="1" nd="1"/>
        <i x="3" s="1" nd="1"/>
        <i x="1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ABA93A13-A24F-46D5-9816-E9AD195C59E2}" sourceName="MES">
  <pivotTables>
    <pivotTable tabId="1" name="TablaDinámica7"/>
  </pivotTables>
  <data>
    <tabular pivotCacheId="475470214">
      <items count="14">
        <i x="2" s="1" nd="1"/>
        <i x="3" s="1" nd="1"/>
        <i x="4" s="1" nd="1"/>
        <i x="5" s="1" nd="1"/>
        <i x="6" s="1" nd="1"/>
        <i x="7" s="1" nd="1"/>
        <i x="8" s="1" nd="1"/>
        <i x="9" s="1" nd="1"/>
        <i x="1" s="1" nd="1"/>
        <i x="10" s="1" nd="1"/>
        <i x="11" s="1" nd="1"/>
        <i x="12" s="1" nd="1"/>
        <i x="13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1" xr10:uid="{6653EC18-EE63-4919-BFBF-902768283C3A}" sourceName="MES">
  <pivotTables>
    <pivotTable tabId="1" name="TablaDinámica8"/>
  </pivotTables>
  <data>
    <tabular pivotCacheId="475470214">
      <items count="14">
        <i x="2" s="1" nd="1"/>
        <i x="3" s="1" nd="1"/>
        <i x="4" s="1" nd="1"/>
        <i x="5" s="1" nd="1"/>
        <i x="6" s="1" nd="1"/>
        <i x="7" s="1" nd="1"/>
        <i x="8" s="1" nd="1"/>
        <i x="9" s="1" nd="1"/>
        <i x="1" s="1" nd="1"/>
        <i x="10" s="1" nd="1"/>
        <i x="11" s="1" nd="1"/>
        <i x="12" s="1" nd="1"/>
        <i x="13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1" xr10:uid="{80DF4F56-65C2-464F-A2BB-A5694BDC8D4D}" sourceName="AÑO">
  <pivotTables>
    <pivotTable tabId="1" name="TablaDinámica8"/>
  </pivotTables>
  <data>
    <tabular pivotCacheId="475470214">
      <items count="4">
        <i x="2" s="1" nd="1"/>
        <i x="3" s="1" nd="1"/>
        <i x="1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2" xr10:uid="{3C01D8B0-E633-4CA3-A835-E0C0FEBA0E96}" sourceName="MES">
  <pivotTables>
    <pivotTable tabId="2" name="TablaDinámica1"/>
  </pivotTables>
  <data>
    <tabular pivotCacheId="475470214">
      <items count="14">
        <i x="2" s="1" nd="1"/>
        <i x="3" s="1" nd="1"/>
        <i x="4" s="1" nd="1"/>
        <i x="5" s="1" nd="1"/>
        <i x="6" s="1" nd="1"/>
        <i x="7" s="1" nd="1"/>
        <i x="8" s="1" nd="1"/>
        <i x="9" s="1" nd="1"/>
        <i x="1" s="1" nd="1"/>
        <i x="10" s="1" nd="1"/>
        <i x="11" s="1" nd="1"/>
        <i x="12" s="1" nd="1"/>
        <i x="13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2" xr10:uid="{720A229F-3AFE-4E6B-9A2E-8D74064042C0}" sourceName="AÑO">
  <pivotTables>
    <pivotTable tabId="2" name="TablaDinámica1"/>
  </pivotTables>
  <data>
    <tabular pivotCacheId="475470214">
      <items count="4">
        <i x="2" s="1" nd="1"/>
        <i x="3" s="1" nd="1"/>
        <i x="1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3" xr10:uid="{45D0A7A4-D193-47E2-B4F3-E3C7FE602A5C}" sourceName="MES">
  <pivotTables>
    <pivotTable tabId="2" name="TablaDinámica2"/>
  </pivotTables>
  <data>
    <tabular pivotCacheId="475470214">
      <items count="14">
        <i x="2" s="1" nd="1"/>
        <i x="3" s="1" nd="1"/>
        <i x="4" s="1" nd="1"/>
        <i x="5" s="1" nd="1"/>
        <i x="6" s="1" nd="1"/>
        <i x="7" s="1" nd="1"/>
        <i x="8" s="1" nd="1"/>
        <i x="9" s="1" nd="1"/>
        <i x="1" s="1" nd="1"/>
        <i x="10" s="1" nd="1"/>
        <i x="11" s="1" nd="1"/>
        <i x="12" s="1" nd="1"/>
        <i x="13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3" xr10:uid="{1DFB9B1D-7223-429C-8AB7-CB38619A4A0C}" sourceName="AÑO">
  <pivotTables>
    <pivotTable tabId="2" name="TablaDinámica2"/>
  </pivotTables>
  <data>
    <tabular pivotCacheId="475470214">
      <items count="4">
        <i x="2" s="1" nd="1"/>
        <i x="3" s="1" nd="1"/>
        <i x="1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4" xr10:uid="{8D1B9F3B-21DA-4496-9838-13B735BCC25E}" sourceName="MES">
  <pivotTables>
    <pivotTable tabId="2" name="TablaDinámica3"/>
  </pivotTables>
  <data>
    <tabular pivotCacheId="475470214">
      <items count="14">
        <i x="2" s="1" nd="1"/>
        <i x="3" s="1" nd="1"/>
        <i x="4" s="1" nd="1"/>
        <i x="5" s="1" nd="1"/>
        <i x="6" s="1" nd="1"/>
        <i x="7" s="1" nd="1"/>
        <i x="8" s="1" nd="1"/>
        <i x="9" s="1" nd="1"/>
        <i x="1" s="1" nd="1"/>
        <i x="10" s="1" nd="1"/>
        <i x="11" s="1" nd="1"/>
        <i x="12" s="1" nd="1"/>
        <i x="13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4" xr10:uid="{7CA7C984-D50F-4E0E-A8FE-94EF270E3B41}" sourceName="AÑO">
  <pivotTables>
    <pivotTable tabId="2" name="TablaDinámica3"/>
  </pivotTables>
  <data>
    <tabular pivotCacheId="475470214">
      <items count="4">
        <i x="2" s="1" nd="1"/>
        <i x="3" s="1" nd="1"/>
        <i x="1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" xr10:uid="{79606BA8-8B7D-494D-9F50-2F9DCEC1BC22}" cache="SegmentaciónDeDatos_AÑO" caption="AÑO" rowHeight="234950"/>
  <slicer name="MES" xr10:uid="{4397914E-306B-4C18-8EDD-7CF065FCBFEC}" cache="SegmentaciónDeDatos_MES" caption="MES" rowHeight="234950"/>
  <slicer name="MES 1" xr10:uid="{D383C8E9-6FCC-4AE3-AE9D-5F667BC692EF}" cache="SegmentaciónDeDatos_MES1" caption="MES" rowHeight="234950"/>
  <slicer name="AÑO 1" xr10:uid="{0799FA56-ADC4-4E44-ACA5-0D0FAEC4D332}" cache="SegmentaciónDeDatos_AÑO1" caption="AÑO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 2" xr10:uid="{C24EC64E-C849-4B9D-A231-881D56DC8E43}" cache="SegmentaciónDeDatos_MES2" caption="MES" rowHeight="234950"/>
  <slicer name="AÑO 2" xr10:uid="{682966C3-7750-4E50-ABFB-975668004A1D}" cache="SegmentaciónDeDatos_AÑO2" caption="AÑO" rowHeight="234950"/>
  <slicer name="MES 3" xr10:uid="{6EAE4043-8570-4FDF-BCF8-FE1BC579E87B}" cache="SegmentaciónDeDatos_MES3" caption="MES" rowHeight="234950"/>
  <slicer name="AÑO 3" xr10:uid="{90B8DB59-6678-4F79-8FC3-7C7A5DEDCAA5}" cache="SegmentaciónDeDatos_AÑO3" caption="AÑO" rowHeight="234950"/>
  <slicer name="MES 4" xr10:uid="{BC5EA705-E85A-4C2B-B039-2F17A43145CB}" cache="SegmentaciónDeDatos_MES4" caption="MES" rowHeight="234950"/>
  <slicer name="AÑO 4" xr10:uid="{CCCE1E5C-4290-43B3-8189-95554F7F640D}" cache="SegmentaciónDeDatos_AÑO4" caption="AÑO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13810C-6A37-41C4-9FF7-41DFDE1EFF55}" name="Tabla2" displayName="Tabla2" ref="E8:I22" totalsRowShown="0" headerRowDxfId="303" headerRowBorderDxfId="302" tableBorderDxfId="301" totalsRowBorderDxfId="300">
  <autoFilter ref="E8:I22" xr:uid="{E813810C-6A37-41C4-9FF7-41DFDE1EFF55}"/>
  <tableColumns count="5">
    <tableColumn id="1" xr3:uid="{42792B7B-30B7-4880-984E-462E529C564D}" name="Categoria" dataDxfId="299"/>
    <tableColumn id="2" xr3:uid="{5D0CBB7C-12EA-418E-BBCF-7C6E3EDB4E5B}" name="Fecha Esperada" dataDxfId="298"/>
    <tableColumn id="3" xr3:uid="{E8729A50-65C3-45B1-86B2-174B5556681B}" name="Descripcion" dataDxfId="297"/>
    <tableColumn id="4" xr3:uid="{E74D7B14-D3FF-4239-8C12-23084EDA19FD}" name="Monto" dataDxfId="296" dataCellStyle="Millares"/>
    <tableColumn id="5" xr3:uid="{89BA0F10-ADBD-4C08-B6A9-B0FDC6F156C5}" name="Estado" dataDxfId="295">
      <calculatedColumnFormula>+IF(E9="","",IF(J9=TRUE,"Recibido","Pendiente"))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D435E2-D243-448A-B02D-8311417EAF90}" name="Tabla3" displayName="Tabla3" ref="L8:P22" totalsRowShown="0" headerRowDxfId="294" dataDxfId="292" headerRowBorderDxfId="293" tableBorderDxfId="291" totalsRowBorderDxfId="290">
  <autoFilter ref="L8:P22" xr:uid="{DDD435E2-D243-448A-B02D-8311417EAF90}"/>
  <tableColumns count="5">
    <tableColumn id="1" xr3:uid="{BA69C63B-C33F-4338-91A4-A98E8E65FB63}" name="Categoria" dataDxfId="289"/>
    <tableColumn id="2" xr3:uid="{9B1E68C7-61BF-4DEF-8B06-2760D7B3C8E9}" name="Fecha Esperada" dataDxfId="288"/>
    <tableColumn id="3" xr3:uid="{63107A65-F6E8-4311-8BB1-906E0B7877D3}" name="Descripcion" dataDxfId="287"/>
    <tableColumn id="4" xr3:uid="{1828E7A1-EEDB-4442-A8AF-D67D922E8DDC}" name="Monto" dataDxfId="286" dataCellStyle="Millares"/>
    <tableColumn id="5" xr3:uid="{DA44AA50-D95F-47C0-B6AB-36BE53835116}" name="Estado" dataDxfId="285">
      <calculatedColumnFormula>+IF(L9="","",IF(Q9=TRUE,"Pagado","Pendiente"))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9BCF23-57F1-4CA9-A916-7E48F9287E3C}" name="Tabla1" displayName="Tabla1" ref="A1:H2" totalsRowShown="0" headerRowDxfId="21" dataDxfId="19" headerRowBorderDxfId="20" tableBorderDxfId="18" totalsRowBorderDxfId="17">
  <autoFilter ref="A1:H2" xr:uid="{D39BCF23-57F1-4CA9-A916-7E48F9287E3C}"/>
  <tableColumns count="8">
    <tableColumn id="1" xr3:uid="{6ADF52F0-31DC-4373-8261-73769119D53C}" name="Tipo" dataDxfId="16"/>
    <tableColumn id="2" xr3:uid="{FCC22A35-700E-412E-B5A9-29D17D4548A9}" name="Fecha" dataDxfId="15"/>
    <tableColumn id="3" xr3:uid="{D876F547-5064-4BFC-9486-3D48CD8FF594}" name="Categoria" dataDxfId="14"/>
    <tableColumn id="4" xr3:uid="{A2177FF4-7652-4D48-8487-1E8288B454C5}" name="Descripcion" dataDxfId="13"/>
    <tableColumn id="5" xr3:uid="{8FCF73A9-DF5A-4858-8883-46BA8DAA27E8}" name="Monto" dataDxfId="12" dataCellStyle="Millares"/>
    <tableColumn id="6" xr3:uid="{BB1C527B-BDF1-42FD-81D6-9286CF28B3C6}" name="Estado" dataDxfId="11"/>
    <tableColumn id="8" xr3:uid="{2A5D90C8-2576-4847-A4A9-14D4305F2184}" name="MES" dataDxfId="10"/>
    <tableColumn id="9" xr3:uid="{40EF05FC-33C8-4465-98F9-F7D038D1308C}" name="AÑO" dataDxfId="9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46B959-F9EB-4DEB-80A3-33C7B45DA56A}" name="Tabla4" displayName="Tabla4" ref="D18:G19" insertRow="1" totalsRowShown="0" headerRowDxfId="8" dataDxfId="6" headerRowBorderDxfId="7" tableBorderDxfId="5" totalsRowBorderDxfId="4">
  <autoFilter ref="D18:G19" xr:uid="{4346B959-F9EB-4DEB-80A3-33C7B45DA56A}"/>
  <tableColumns count="4">
    <tableColumn id="1" xr3:uid="{98F7CD04-9B6E-4991-8944-98278E7F222B}" name="Fecha de asignacion" dataDxfId="3"/>
    <tableColumn id="2" xr3:uid="{B0D6560E-DA7A-4CEB-969E-C535B47B996B}" name="Monto" dataDxfId="2" dataCellStyle="Millares"/>
    <tableColumn id="3" xr3:uid="{5E163536-D8DC-4691-B0C4-FF4F68EC31D7}" name="Proyecto" dataDxfId="1" dataCellStyle="Porcentaje"/>
    <tableColumn id="4" xr3:uid="{8C731CDE-C4EC-44FC-BC34-286E39A23952}" name="Ubicació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4.xml"/><Relationship Id="rId1" Type="http://schemas.microsoft.com/office/2011/relationships/webextension" Target="webextension3.xml"/></Relationships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00000000-0008-0000-0100-000002000000}">
  <we:reference id="wa102957665" version="1.3.0.0" store="es-ES" storeType="OMEX"/>
  <we:alternateReferences>
    <we:reference id="wa102957665" version="1.3.0.0" store="wa102957665" storeType="OMEX"/>
  </we:alternateReferences>
  <we:properties>
    <we:property name="opt_cal_sys" value="21"/>
    <we:property name="opt_wn" value="true"/>
    <we:property name="opt_theme" value="5"/>
    <we:property name="opt_size" value="0"/>
    <we:property name="opt_confirm" value="true"/>
    <we:property name="opt_month" value="&quot;2024-09-01&quot;"/>
  </we:properties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00000000-0008-0000-0300-000004000000}">
  <we:reference id="wa102957665" version="1.3.0.0" store="es-ES" storeType="OMEX"/>
  <we:alternateReferences>
    <we:reference id="wa102957665" version="1.3.0.0" store="wa102957665" storeType="OMEX"/>
  </we:alternateReferences>
  <we:properties>
    <we:property name="opt_cal_sys" value="21"/>
    <we:property name="opt_wn" value="true"/>
    <we:property name="opt_theme" value="5"/>
    <we:property name="opt_size" value="0"/>
    <we:property name="opt_confirm" value="true"/>
    <we:property name="opt_month" value="&quot;2024-09-01&quot;"/>
  </we:properties>
  <we:bindings/>
  <we:snapshot xmlns:r="http://schemas.openxmlformats.org/officeDocument/2006/relationships" r:embed="rId1"/>
</we:webextension>
</file>

<file path=xl/webextensions/webextension3.xml><?xml version="1.0" encoding="utf-8"?>
<we:webextension xmlns:we="http://schemas.microsoft.com/office/webextensions/webextension/2010/11" id="{E94AF44A-7485-4C19-88F2-67B1CA9626B9}">
  <we:reference id="wa104381484" version="1.0.0.9" store="es-ES" storeType="OMEX"/>
  <we:alternateReferences>
    <we:reference id="WA104381484" version="1.0.0.9" store="WA104381484" storeType="OMEX"/>
  </we:alternateReferences>
  <we:properties>
    <we:property name="TaskMagicStore" value="&quot;{\&quot;aws_account\&quot;:{\&quot;secret_key\&quot;:\&quot;\&quot;},\&quot;selected_task\&quot;:{},\&quot;mturk_tasks\&quot;:[],\&quot;first_run\&quot;:false}&quot;"/>
  </we:properties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C9868AD8-D41D-4CA2-8EBC-D6B6B435653F}">
  <we:reference id="wa104192851" version="1.0.0.0" store="es-ES" storeType="OMEX"/>
  <we:alternateReferences>
    <we:reference id="wa104192851" version="1.0.0.0" store="wa10419285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.emf"/><Relationship Id="rId18" Type="http://schemas.openxmlformats.org/officeDocument/2006/relationships/control" Target="../activeX/activeX7.xml"/><Relationship Id="rId26" Type="http://schemas.openxmlformats.org/officeDocument/2006/relationships/ctrlProp" Target="../ctrlProps/ctrlProp6.xml"/><Relationship Id="rId3" Type="http://schemas.openxmlformats.org/officeDocument/2006/relationships/printerSettings" Target="../printerSettings/printerSettings1.bin"/><Relationship Id="rId21" Type="http://schemas.openxmlformats.org/officeDocument/2006/relationships/ctrlProp" Target="../ctrlProps/ctrlProp1.xml"/><Relationship Id="rId34" Type="http://schemas.openxmlformats.org/officeDocument/2006/relationships/ctrlProp" Target="../ctrlProps/ctrlProp14.xml"/><Relationship Id="rId7" Type="http://schemas.openxmlformats.org/officeDocument/2006/relationships/image" Target="../media/image1.emf"/><Relationship Id="rId12" Type="http://schemas.openxmlformats.org/officeDocument/2006/relationships/control" Target="../activeX/activeX4.xml"/><Relationship Id="rId17" Type="http://schemas.openxmlformats.org/officeDocument/2006/relationships/image" Target="../media/image6.emf"/><Relationship Id="rId25" Type="http://schemas.openxmlformats.org/officeDocument/2006/relationships/ctrlProp" Target="../ctrlProps/ctrlProp5.xml"/><Relationship Id="rId33" Type="http://schemas.openxmlformats.org/officeDocument/2006/relationships/ctrlProp" Target="../ctrlProps/ctrlProp13.xml"/><Relationship Id="rId2" Type="http://schemas.openxmlformats.org/officeDocument/2006/relationships/pivotTable" Target="../pivotTables/pivotTable2.xml"/><Relationship Id="rId16" Type="http://schemas.openxmlformats.org/officeDocument/2006/relationships/control" Target="../activeX/activeX6.xml"/><Relationship Id="rId20" Type="http://schemas.openxmlformats.org/officeDocument/2006/relationships/control" Target="../activeX/activeX8.xml"/><Relationship Id="rId29" Type="http://schemas.openxmlformats.org/officeDocument/2006/relationships/ctrlProp" Target="../ctrlProps/ctrlProp9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24" Type="http://schemas.openxmlformats.org/officeDocument/2006/relationships/ctrlProp" Target="../ctrlProps/ctrlProp4.xml"/><Relationship Id="rId32" Type="http://schemas.openxmlformats.org/officeDocument/2006/relationships/ctrlProp" Target="../ctrlProps/ctrlProp12.xml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23" Type="http://schemas.openxmlformats.org/officeDocument/2006/relationships/ctrlProp" Target="../ctrlProps/ctrlProp3.xml"/><Relationship Id="rId28" Type="http://schemas.openxmlformats.org/officeDocument/2006/relationships/ctrlProp" Target="../ctrlProps/ctrlProp8.xml"/><Relationship Id="rId36" Type="http://schemas.microsoft.com/office/2007/relationships/slicer" Target="../slicers/slicer1.xml"/><Relationship Id="rId10" Type="http://schemas.openxmlformats.org/officeDocument/2006/relationships/control" Target="../activeX/activeX3.xml"/><Relationship Id="rId19" Type="http://schemas.openxmlformats.org/officeDocument/2006/relationships/image" Target="../media/image7.emf"/><Relationship Id="rId31" Type="http://schemas.openxmlformats.org/officeDocument/2006/relationships/ctrlProp" Target="../ctrlProps/ctrlProp11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Relationship Id="rId22" Type="http://schemas.openxmlformats.org/officeDocument/2006/relationships/ctrlProp" Target="../ctrlProps/ctrlProp2.xml"/><Relationship Id="rId27" Type="http://schemas.openxmlformats.org/officeDocument/2006/relationships/ctrlProp" Target="../ctrlProps/ctrlProp7.xml"/><Relationship Id="rId30" Type="http://schemas.openxmlformats.org/officeDocument/2006/relationships/ctrlProp" Target="../ctrlProps/ctrlProp10.xml"/><Relationship Id="rId35" Type="http://schemas.openxmlformats.org/officeDocument/2006/relationships/ctrlProp" Target="../ctrlProps/ctrlProp15.xml"/><Relationship Id="rId8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3.xml"/><Relationship Id="rId18" Type="http://schemas.openxmlformats.org/officeDocument/2006/relationships/ctrlProp" Target="../ctrlProps/ctrlProp28.xml"/><Relationship Id="rId26" Type="http://schemas.openxmlformats.org/officeDocument/2006/relationships/ctrlProp" Target="../ctrlProps/ctrlProp36.xml"/><Relationship Id="rId39" Type="http://schemas.openxmlformats.org/officeDocument/2006/relationships/ctrlProp" Target="../ctrlProps/ctrlProp49.xml"/><Relationship Id="rId21" Type="http://schemas.openxmlformats.org/officeDocument/2006/relationships/ctrlProp" Target="../ctrlProps/ctrlProp31.xml"/><Relationship Id="rId34" Type="http://schemas.openxmlformats.org/officeDocument/2006/relationships/ctrlProp" Target="../ctrlProps/ctrlProp44.xml"/><Relationship Id="rId7" Type="http://schemas.openxmlformats.org/officeDocument/2006/relationships/ctrlProp" Target="../ctrlProps/ctrlProp17.xml"/><Relationship Id="rId2" Type="http://schemas.openxmlformats.org/officeDocument/2006/relationships/pivotTable" Target="../pivotTables/pivotTable4.xml"/><Relationship Id="rId16" Type="http://schemas.openxmlformats.org/officeDocument/2006/relationships/ctrlProp" Target="../ctrlProps/ctrlProp26.xml"/><Relationship Id="rId20" Type="http://schemas.openxmlformats.org/officeDocument/2006/relationships/ctrlProp" Target="../ctrlProps/ctrlProp30.xml"/><Relationship Id="rId29" Type="http://schemas.openxmlformats.org/officeDocument/2006/relationships/ctrlProp" Target="../ctrlProps/ctrlProp39.xml"/><Relationship Id="rId41" Type="http://schemas.openxmlformats.org/officeDocument/2006/relationships/table" Target="../tables/table2.xml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24" Type="http://schemas.openxmlformats.org/officeDocument/2006/relationships/ctrlProp" Target="../ctrlProps/ctrlProp34.xml"/><Relationship Id="rId32" Type="http://schemas.openxmlformats.org/officeDocument/2006/relationships/ctrlProp" Target="../ctrlProps/ctrlProp42.xml"/><Relationship Id="rId37" Type="http://schemas.openxmlformats.org/officeDocument/2006/relationships/ctrlProp" Target="../ctrlProps/ctrlProp47.xml"/><Relationship Id="rId40" Type="http://schemas.openxmlformats.org/officeDocument/2006/relationships/table" Target="../tables/table1.xml"/><Relationship Id="rId5" Type="http://schemas.openxmlformats.org/officeDocument/2006/relationships/vmlDrawing" Target="../drawings/vmlDrawing2.vml"/><Relationship Id="rId15" Type="http://schemas.openxmlformats.org/officeDocument/2006/relationships/ctrlProp" Target="../ctrlProps/ctrlProp25.xml"/><Relationship Id="rId23" Type="http://schemas.openxmlformats.org/officeDocument/2006/relationships/ctrlProp" Target="../ctrlProps/ctrlProp33.xml"/><Relationship Id="rId28" Type="http://schemas.openxmlformats.org/officeDocument/2006/relationships/ctrlProp" Target="../ctrlProps/ctrlProp38.xml"/><Relationship Id="rId36" Type="http://schemas.openxmlformats.org/officeDocument/2006/relationships/ctrlProp" Target="../ctrlProps/ctrlProp46.xml"/><Relationship Id="rId10" Type="http://schemas.openxmlformats.org/officeDocument/2006/relationships/ctrlProp" Target="../ctrlProps/ctrlProp20.xml"/><Relationship Id="rId19" Type="http://schemas.openxmlformats.org/officeDocument/2006/relationships/ctrlProp" Target="../ctrlProps/ctrlProp29.xml"/><Relationship Id="rId31" Type="http://schemas.openxmlformats.org/officeDocument/2006/relationships/ctrlProp" Target="../ctrlProps/ctrlProp41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19.xml"/><Relationship Id="rId14" Type="http://schemas.openxmlformats.org/officeDocument/2006/relationships/ctrlProp" Target="../ctrlProps/ctrlProp24.xml"/><Relationship Id="rId22" Type="http://schemas.openxmlformats.org/officeDocument/2006/relationships/ctrlProp" Target="../ctrlProps/ctrlProp32.xml"/><Relationship Id="rId27" Type="http://schemas.openxmlformats.org/officeDocument/2006/relationships/ctrlProp" Target="../ctrlProps/ctrlProp37.xml"/><Relationship Id="rId30" Type="http://schemas.openxmlformats.org/officeDocument/2006/relationships/ctrlProp" Target="../ctrlProps/ctrlProp40.xml"/><Relationship Id="rId35" Type="http://schemas.openxmlformats.org/officeDocument/2006/relationships/ctrlProp" Target="../ctrlProps/ctrlProp45.xml"/><Relationship Id="rId8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2.bin"/><Relationship Id="rId12" Type="http://schemas.openxmlformats.org/officeDocument/2006/relationships/ctrlProp" Target="../ctrlProps/ctrlProp22.xml"/><Relationship Id="rId17" Type="http://schemas.openxmlformats.org/officeDocument/2006/relationships/ctrlProp" Target="../ctrlProps/ctrlProp27.xml"/><Relationship Id="rId25" Type="http://schemas.openxmlformats.org/officeDocument/2006/relationships/ctrlProp" Target="../ctrlProps/ctrlProp35.xml"/><Relationship Id="rId33" Type="http://schemas.openxmlformats.org/officeDocument/2006/relationships/ctrlProp" Target="../ctrlProps/ctrlProp43.xml"/><Relationship Id="rId38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13" Type="http://schemas.openxmlformats.org/officeDocument/2006/relationships/ctrlProp" Target="../ctrlProps/ctrlProp56.xml"/><Relationship Id="rId3" Type="http://schemas.openxmlformats.org/officeDocument/2006/relationships/pivotTable" Target="../pivotTables/pivotTable7.x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2" Type="http://schemas.openxmlformats.org/officeDocument/2006/relationships/pivotTable" Target="../pivotTables/pivotTable6.xml"/><Relationship Id="rId16" Type="http://schemas.microsoft.com/office/2007/relationships/slicer" Target="../slicers/slicer2.xml"/><Relationship Id="rId1" Type="http://schemas.openxmlformats.org/officeDocument/2006/relationships/pivotTable" Target="../pivotTables/pivotTable5.xm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54.xml"/><Relationship Id="rId5" Type="http://schemas.openxmlformats.org/officeDocument/2006/relationships/drawing" Target="../drawings/drawing3.xml"/><Relationship Id="rId15" Type="http://schemas.openxmlformats.org/officeDocument/2006/relationships/table" Target="../tables/table3.xml"/><Relationship Id="rId10" Type="http://schemas.openxmlformats.org/officeDocument/2006/relationships/ctrlProp" Target="../ctrlProps/ctrlProp53.xml"/><Relationship Id="rId4" Type="http://schemas.openxmlformats.org/officeDocument/2006/relationships/printerSettings" Target="../printerSettings/printerSettings3.bin"/><Relationship Id="rId9" Type="http://schemas.openxmlformats.org/officeDocument/2006/relationships/ctrlProp" Target="../ctrlProps/ctrlProp52.xml"/><Relationship Id="rId14" Type="http://schemas.openxmlformats.org/officeDocument/2006/relationships/ctrlProp" Target="../ctrlProps/ctrlProp5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3" Type="http://schemas.openxmlformats.org/officeDocument/2006/relationships/ctrlProp" Target="../ctrlProps/ctrlProp58.xml"/><Relationship Id="rId7" Type="http://schemas.openxmlformats.org/officeDocument/2006/relationships/ctrlProp" Target="../ctrlProps/ctrlProp6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1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Relationship Id="rId9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7" Type="http://schemas.openxmlformats.org/officeDocument/2006/relationships/ctrlProp" Target="../ctrlProps/ctrlProp6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67.xml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6334A-902B-47BF-B94F-5BED85527A6A}">
  <sheetPr codeName="Hoja1">
    <tabColor theme="4" tint="0.79998168889431442"/>
    <pageSetUpPr fitToPage="1"/>
  </sheetPr>
  <dimension ref="A1:T120"/>
  <sheetViews>
    <sheetView tabSelected="1" zoomScale="85" zoomScaleNormal="85" workbookViewId="0">
      <selection activeCell="B2" sqref="B2"/>
    </sheetView>
  </sheetViews>
  <sheetFormatPr baseColWidth="10" defaultColWidth="11.5703125" defaultRowHeight="15" x14ac:dyDescent="0.25"/>
  <cols>
    <col min="1" max="1" width="4.42578125" style="4" customWidth="1"/>
    <col min="2" max="2" width="33.7109375" style="4" bestFit="1" customWidth="1"/>
    <col min="3" max="3" width="23.140625" style="4" bestFit="1" customWidth="1"/>
    <col min="4" max="4" width="9" style="4" bestFit="1" customWidth="1"/>
    <col min="5" max="5" width="5.85546875" style="4" bestFit="1" customWidth="1"/>
    <col min="6" max="7" width="6.5703125" style="4" bestFit="1" customWidth="1"/>
    <col min="8" max="9" width="6.42578125" style="4" bestFit="1" customWidth="1"/>
    <col min="10" max="10" width="5.85546875" style="4" bestFit="1" customWidth="1"/>
    <col min="11" max="12" width="6.42578125" style="4" bestFit="1" customWidth="1"/>
    <col min="13" max="13" width="6" style="4" bestFit="1" customWidth="1"/>
    <col min="14" max="16" width="6.5703125" style="4" bestFit="1" customWidth="1"/>
    <col min="17" max="17" width="6.28515625" style="4" bestFit="1" customWidth="1"/>
    <col min="18" max="19" width="11.5703125" style="4" customWidth="1"/>
    <col min="20" max="20" width="11.5703125" style="7" customWidth="1"/>
    <col min="21" max="16384" width="11.5703125" style="15"/>
  </cols>
  <sheetData>
    <row r="1" spans="2:16" ht="36" customHeight="1" x14ac:dyDescent="0.25"/>
    <row r="2" spans="2:16" ht="24" x14ac:dyDescent="0.4">
      <c r="B2" s="5" t="s">
        <v>45</v>
      </c>
      <c r="C2" s="38">
        <f ca="1">+YEAR(TODAY())</f>
        <v>2024</v>
      </c>
    </row>
    <row r="3" spans="2:16" ht="18.75" x14ac:dyDescent="0.25">
      <c r="C3" s="6">
        <f ca="1">+MONTH(TODAY())</f>
        <v>9</v>
      </c>
      <c r="E3" s="93" t="s">
        <v>44</v>
      </c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</row>
    <row r="4" spans="2:16" ht="21" x14ac:dyDescent="0.25">
      <c r="B4" s="5" t="s">
        <v>43</v>
      </c>
      <c r="C4" s="39" t="str">
        <f ca="1">+UPPER(TEXT(TODAY(),"MMMM"))</f>
        <v>SEPTIEMBRE</v>
      </c>
      <c r="D4" s="7"/>
      <c r="E4" s="8" t="s">
        <v>31</v>
      </c>
      <c r="F4" s="8" t="s">
        <v>32</v>
      </c>
      <c r="G4" s="8" t="s">
        <v>33</v>
      </c>
      <c r="H4" s="8" t="s">
        <v>34</v>
      </c>
      <c r="I4" s="8" t="s">
        <v>35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8" t="s">
        <v>41</v>
      </c>
      <c r="P4" s="8" t="s">
        <v>42</v>
      </c>
    </row>
    <row r="5" spans="2:16" x14ac:dyDescent="0.25">
      <c r="B5" s="9" t="s">
        <v>27</v>
      </c>
      <c r="C5" s="10">
        <f ca="1">+SUMIFS(Tabla1[Monto],Tabla1[MES],C3,Tabla1[Tipo],"Ingreso",Tabla1[AÑO],C2)</f>
        <v>0</v>
      </c>
      <c r="D5" s="7" t="s">
        <v>47</v>
      </c>
      <c r="E5" s="10">
        <f ca="1">+SUMIFS(Tabla1[Monto],Tabla1[MES],1,Tabla1[Tipo],"Ingreso",Tabla1[AÑO],$C$2)</f>
        <v>0</v>
      </c>
      <c r="F5" s="10">
        <f ca="1">+SUMIFS(Tabla1[Monto],Tabla1[MES],2,Tabla1[Tipo],"Ingreso",Tabla1[AÑO],$C$2)</f>
        <v>0</v>
      </c>
      <c r="G5" s="10">
        <f ca="1">+SUMIFS(Tabla1[Monto],Tabla1[MES],3,Tabla1[Tipo],"Ingreso",Tabla1[AÑO],$C$2)</f>
        <v>0</v>
      </c>
      <c r="H5" s="10">
        <f ca="1">+SUMIFS(Tabla1[Monto],Tabla1[MES],4,Tabla1[Tipo],"Ingreso",Tabla1[AÑO],$C$2)</f>
        <v>0</v>
      </c>
      <c r="I5" s="10">
        <f ca="1">+SUMIFS(Tabla1[Monto],Tabla1[MES],5,Tabla1[Tipo],"Ingreso",Tabla1[AÑO],$C$2)</f>
        <v>0</v>
      </c>
      <c r="J5" s="10">
        <f ca="1">+SUMIFS(Tabla1[Monto],Tabla1[MES],6,Tabla1[Tipo],"Ingreso",Tabla1[AÑO],$C$2)</f>
        <v>0</v>
      </c>
      <c r="K5" s="10">
        <f ca="1">+SUMIFS(Tabla1[Monto],Tabla1[MES],7,Tabla1[Tipo],"Ingreso",Tabla1[AÑO],$C$2)</f>
        <v>0</v>
      </c>
      <c r="L5" s="10">
        <f ca="1">+SUMIFS(Tabla1[Monto],Tabla1[MES],8,Tabla1[Tipo],"Ingreso",Tabla1[AÑO],$C$2)</f>
        <v>0</v>
      </c>
      <c r="M5" s="10">
        <f ca="1">+SUMIFS(Tabla1[Monto],Tabla1[MES],9,Tabla1[Tipo],"Ingreso",Tabla1[AÑO],$C$2)</f>
        <v>0</v>
      </c>
      <c r="N5" s="10">
        <f ca="1">+SUMIFS(Tabla1[Monto],Tabla1[MES],10,Tabla1[Tipo],"Ingreso",Tabla1[AÑO],$C$2)</f>
        <v>0</v>
      </c>
      <c r="O5" s="10">
        <f ca="1">+SUMIFS(Tabla1[Monto],Tabla1[MES],11,Tabla1[Tipo],"Ingreso",Tabla1[AÑO],$C$2)</f>
        <v>0</v>
      </c>
      <c r="P5" s="10">
        <f ca="1">+SUMIFS(Tabla1[Monto],Tabla1[MES],12,Tabla1[Tipo],"Ingreso",Tabla1[AÑO],$C$2)</f>
        <v>0</v>
      </c>
    </row>
    <row r="6" spans="2:16" x14ac:dyDescent="0.25">
      <c r="B6" s="9" t="s">
        <v>28</v>
      </c>
      <c r="C6" s="10">
        <f ca="1">+SUMIFS(Tabla1[Monto],Tabla1[MES],C3,Tabla1[Tipo],"Gasto",Tabla1[AÑO],C2)</f>
        <v>0</v>
      </c>
      <c r="D6" s="7" t="s">
        <v>48</v>
      </c>
      <c r="E6" s="10">
        <f ca="1">+SUMIFS(Tabla1[Monto],Tabla1[MES],1,Tabla1[Tipo],"Gasto",Tabla1[AÑO],$C$2)</f>
        <v>0</v>
      </c>
      <c r="F6" s="10">
        <f ca="1">+SUMIFS(Tabla1[Monto],Tabla1[MES],2,Tabla1[Tipo],"Gasto",Tabla1[AÑO],$C$2)</f>
        <v>0</v>
      </c>
      <c r="G6" s="10">
        <f ca="1">+SUMIFS(Tabla1[Monto],Tabla1[MES],3,Tabla1[Tipo],"Gasto",Tabla1[AÑO],$C$2)</f>
        <v>0</v>
      </c>
      <c r="H6" s="10">
        <f ca="1">+SUMIFS(Tabla1[Monto],Tabla1[MES],4,Tabla1[Tipo],"Gasto",Tabla1[AÑO],$C$2)</f>
        <v>0</v>
      </c>
      <c r="I6" s="10">
        <f ca="1">+SUMIFS(Tabla1[Monto],Tabla1[MES],5,Tabla1[Tipo],"Gasto",Tabla1[AÑO],$C$2)</f>
        <v>0</v>
      </c>
      <c r="J6" s="10">
        <f ca="1">+SUMIFS(Tabla1[Monto],Tabla1[MES],6,Tabla1[Tipo],"Gasto",Tabla1[AÑO],$C$2)</f>
        <v>0</v>
      </c>
      <c r="K6" s="10">
        <f ca="1">+SUMIFS(Tabla1[Monto],Tabla1[MES],7,Tabla1[Tipo],"Gasto",Tabla1[AÑO],$C$2)</f>
        <v>0</v>
      </c>
      <c r="L6" s="10">
        <f ca="1">+SUMIFS(Tabla1[Monto],Tabla1[MES],8,Tabla1[Tipo],"Gasto",Tabla1[AÑO],$C$2)</f>
        <v>0</v>
      </c>
      <c r="M6" s="10">
        <f ca="1">+SUMIFS(Tabla1[Monto],Tabla1[MES],9,Tabla1[Tipo],"Gasto",Tabla1[AÑO],$C$2)</f>
        <v>0</v>
      </c>
      <c r="N6" s="10">
        <f ca="1">+SUMIFS(Tabla1[Monto],Tabla1[MES],10,Tabla1[Tipo],"Gasto",Tabla1[AÑO],$C$2)</f>
        <v>0</v>
      </c>
      <c r="O6" s="10">
        <f ca="1">+SUMIFS(Tabla1[Monto],Tabla1[MES],11,Tabla1[Tipo],"Gasto",Tabla1[AÑO],$C$2)</f>
        <v>0</v>
      </c>
      <c r="P6" s="10">
        <f ca="1">+SUMIFS(Tabla1[Monto],Tabla1[MES],12,Tabla1[Tipo],"Gasto",Tabla1[AÑO],$C$2)</f>
        <v>0</v>
      </c>
    </row>
    <row r="7" spans="2:16" x14ac:dyDescent="0.25">
      <c r="B7" s="9" t="s">
        <v>29</v>
      </c>
      <c r="C7" s="11">
        <f ca="1">+C5+C6</f>
        <v>0</v>
      </c>
      <c r="E7" s="12">
        <f ca="1">+E5+E6</f>
        <v>0</v>
      </c>
      <c r="F7" s="12">
        <f t="shared" ref="F7:P7" ca="1" si="0">+F5+F6</f>
        <v>0</v>
      </c>
      <c r="G7" s="12">
        <f t="shared" ca="1" si="0"/>
        <v>0</v>
      </c>
      <c r="H7" s="12">
        <f t="shared" ca="1" si="0"/>
        <v>0</v>
      </c>
      <c r="I7" s="12">
        <f t="shared" ca="1" si="0"/>
        <v>0</v>
      </c>
      <c r="J7" s="12">
        <f t="shared" ca="1" si="0"/>
        <v>0</v>
      </c>
      <c r="K7" s="12">
        <f t="shared" ca="1" si="0"/>
        <v>0</v>
      </c>
      <c r="L7" s="12">
        <f t="shared" ca="1" si="0"/>
        <v>0</v>
      </c>
      <c r="M7" s="12">
        <f t="shared" ca="1" si="0"/>
        <v>0</v>
      </c>
      <c r="N7" s="12">
        <f t="shared" ca="1" si="0"/>
        <v>0</v>
      </c>
      <c r="O7" s="12">
        <f t="shared" ca="1" si="0"/>
        <v>0</v>
      </c>
      <c r="P7" s="12">
        <f t="shared" ca="1" si="0"/>
        <v>0</v>
      </c>
    </row>
    <row r="9" spans="2:16" x14ac:dyDescent="0.25">
      <c r="B9" s="13"/>
      <c r="C9" s="13"/>
    </row>
    <row r="10" spans="2:16" x14ac:dyDescent="0.25">
      <c r="B10" s="13"/>
      <c r="C10" s="13"/>
      <c r="E10" s="13"/>
    </row>
    <row r="11" spans="2:16" x14ac:dyDescent="0.25">
      <c r="B11" s="13"/>
      <c r="C11" s="13"/>
    </row>
    <row r="12" spans="2:16" x14ac:dyDescent="0.25">
      <c r="B12" s="59"/>
      <c r="C12" s="59"/>
    </row>
    <row r="13" spans="2:16" x14ac:dyDescent="0.25">
      <c r="B13" s="102" t="s">
        <v>6</v>
      </c>
      <c r="C13" s="102" t="s">
        <v>99</v>
      </c>
    </row>
    <row r="14" spans="2:16" x14ac:dyDescent="0.25">
      <c r="B14" s="14"/>
      <c r="C14" s="14"/>
    </row>
    <row r="15" spans="2:16" x14ac:dyDescent="0.25">
      <c r="B15" s="102" t="s">
        <v>23</v>
      </c>
      <c r="C15" s="102" t="s">
        <v>25</v>
      </c>
    </row>
    <row r="16" spans="2:16" x14ac:dyDescent="0.25">
      <c r="B16" s="103" t="s">
        <v>24</v>
      </c>
      <c r="C16" s="104"/>
    </row>
    <row r="17" spans="2:18" x14ac:dyDescent="0.25">
      <c r="B17"/>
      <c r="C17"/>
    </row>
    <row r="18" spans="2:18" x14ac:dyDescent="0.25">
      <c r="B18"/>
      <c r="C18"/>
    </row>
    <row r="19" spans="2:18" x14ac:dyDescent="0.25">
      <c r="B19"/>
      <c r="C19"/>
    </row>
    <row r="20" spans="2:18" x14ac:dyDescent="0.25">
      <c r="B20"/>
      <c r="C20"/>
    </row>
    <row r="21" spans="2:18" x14ac:dyDescent="0.25">
      <c r="B21"/>
      <c r="C21"/>
    </row>
    <row r="22" spans="2:18" x14ac:dyDescent="0.25">
      <c r="B22"/>
      <c r="C22"/>
    </row>
    <row r="23" spans="2:18" x14ac:dyDescent="0.25">
      <c r="B23"/>
      <c r="C23"/>
    </row>
    <row r="24" spans="2:18" x14ac:dyDescent="0.25">
      <c r="B24"/>
      <c r="C24"/>
    </row>
    <row r="25" spans="2:18" x14ac:dyDescent="0.25">
      <c r="B25"/>
      <c r="C25"/>
    </row>
    <row r="26" spans="2:18" x14ac:dyDescent="0.25">
      <c r="B26"/>
      <c r="C26"/>
    </row>
    <row r="27" spans="2:18" x14ac:dyDescent="0.25">
      <c r="B27" s="7"/>
      <c r="C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2:18" x14ac:dyDescent="0.25">
      <c r="B28" s="7"/>
      <c r="C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2:18" x14ac:dyDescent="0.25">
      <c r="B29" s="59"/>
      <c r="C29" s="59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2:18" x14ac:dyDescent="0.25">
      <c r="B30" s="99" t="s">
        <v>6</v>
      </c>
      <c r="C30" s="99" t="s">
        <v>99</v>
      </c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2:18" x14ac:dyDescent="0.25">
      <c r="B31" s="7"/>
      <c r="C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2:18" x14ac:dyDescent="0.25">
      <c r="B32" s="99" t="s">
        <v>23</v>
      </c>
      <c r="C32" s="99" t="s">
        <v>25</v>
      </c>
      <c r="I32" s="7"/>
      <c r="J32" s="7"/>
      <c r="K32" s="7"/>
      <c r="L32" s="7"/>
      <c r="M32" s="7"/>
      <c r="N32" s="7"/>
      <c r="O32" s="7"/>
      <c r="P32" s="7"/>
      <c r="Q32" s="7"/>
      <c r="R32" s="7"/>
    </row>
    <row r="33" spans="2:18" x14ac:dyDescent="0.25">
      <c r="B33" s="100" t="s">
        <v>24</v>
      </c>
      <c r="C33" s="101"/>
      <c r="I33" s="7"/>
      <c r="J33" s="7"/>
      <c r="K33" s="7"/>
      <c r="L33" s="7"/>
      <c r="M33" s="7"/>
      <c r="N33" s="7"/>
      <c r="O33" s="7"/>
      <c r="P33" s="7"/>
      <c r="Q33" s="7"/>
      <c r="R33" s="7"/>
    </row>
    <row r="34" spans="2:18" x14ac:dyDescent="0.25">
      <c r="B34"/>
      <c r="C34"/>
      <c r="I34" s="7"/>
      <c r="J34" s="7"/>
      <c r="K34" s="7"/>
      <c r="L34" s="7"/>
      <c r="M34" s="7"/>
      <c r="N34" s="7"/>
      <c r="O34" s="7"/>
      <c r="P34" s="7"/>
      <c r="Q34" s="7"/>
      <c r="R34" s="7"/>
    </row>
    <row r="35" spans="2:18" x14ac:dyDescent="0.25">
      <c r="B35"/>
      <c r="C35"/>
      <c r="I35" s="7"/>
      <c r="J35" s="7"/>
      <c r="K35" s="7"/>
      <c r="L35" s="7"/>
      <c r="M35" s="7"/>
      <c r="N35" s="7"/>
      <c r="O35" s="7"/>
      <c r="P35" s="7"/>
      <c r="Q35" s="7"/>
      <c r="R35" s="7"/>
    </row>
    <row r="36" spans="2:18" x14ac:dyDescent="0.25">
      <c r="B36"/>
      <c r="C36"/>
      <c r="I36" s="7"/>
      <c r="J36" s="7"/>
      <c r="K36" s="7"/>
      <c r="L36" s="7"/>
      <c r="M36" s="7"/>
      <c r="N36" s="7"/>
      <c r="O36" s="7"/>
      <c r="P36" s="7"/>
      <c r="Q36" s="7"/>
      <c r="R36" s="7"/>
    </row>
    <row r="37" spans="2:18" x14ac:dyDescent="0.25">
      <c r="B37"/>
      <c r="C37"/>
      <c r="I37" s="7"/>
      <c r="J37" s="7"/>
      <c r="K37" s="7"/>
      <c r="L37" s="7"/>
      <c r="M37" s="7"/>
      <c r="N37" s="7"/>
      <c r="O37" s="7"/>
      <c r="P37" s="7"/>
      <c r="Q37" s="7"/>
      <c r="R37" s="7"/>
    </row>
    <row r="38" spans="2:18" x14ac:dyDescent="0.25">
      <c r="B38"/>
      <c r="C38"/>
      <c r="I38" s="7"/>
      <c r="J38" s="7"/>
      <c r="K38" s="7"/>
      <c r="L38" s="7"/>
      <c r="M38" s="7"/>
      <c r="N38" s="7"/>
      <c r="O38" s="7"/>
      <c r="P38" s="7"/>
      <c r="Q38" s="7"/>
      <c r="R38" s="7"/>
    </row>
    <row r="39" spans="2:18" x14ac:dyDescent="0.25">
      <c r="B39"/>
      <c r="C39"/>
      <c r="I39" s="7"/>
      <c r="J39" s="7"/>
      <c r="K39" s="7"/>
      <c r="L39" s="7"/>
      <c r="M39" s="7"/>
      <c r="N39" s="7"/>
      <c r="O39" s="7"/>
      <c r="P39" s="7"/>
      <c r="Q39" s="7"/>
      <c r="R39" s="7"/>
    </row>
    <row r="40" spans="2:18" x14ac:dyDescent="0.25">
      <c r="B40"/>
      <c r="C40"/>
      <c r="I40" s="7"/>
      <c r="J40" s="7"/>
      <c r="K40" s="7"/>
      <c r="L40" s="7"/>
      <c r="M40" s="7"/>
      <c r="N40" s="7"/>
      <c r="O40" s="7"/>
      <c r="P40" s="7"/>
      <c r="Q40" s="7"/>
      <c r="R40" s="7"/>
    </row>
    <row r="41" spans="2:18" x14ac:dyDescent="0.25">
      <c r="B41"/>
      <c r="C41"/>
      <c r="I41" s="7"/>
      <c r="J41" s="7"/>
      <c r="K41" s="7"/>
      <c r="L41" s="7"/>
      <c r="M41" s="7"/>
      <c r="N41" s="7"/>
      <c r="O41" s="7"/>
      <c r="P41" s="7"/>
      <c r="Q41" s="7"/>
      <c r="R41" s="7"/>
    </row>
    <row r="42" spans="2:18" x14ac:dyDescent="0.25">
      <c r="B42"/>
      <c r="C42"/>
      <c r="I42" s="7"/>
      <c r="J42" s="7"/>
      <c r="K42" s="7"/>
      <c r="L42" s="7"/>
      <c r="M42" s="7"/>
      <c r="N42" s="7"/>
      <c r="O42" s="7"/>
      <c r="P42" s="7"/>
      <c r="Q42" s="7"/>
      <c r="R42" s="7"/>
    </row>
    <row r="43" spans="2:18" x14ac:dyDescent="0.25">
      <c r="B43"/>
      <c r="C43"/>
      <c r="I43" s="7"/>
      <c r="J43" s="7"/>
      <c r="K43" s="7"/>
      <c r="L43" s="7"/>
      <c r="M43" s="7"/>
      <c r="N43" s="7"/>
      <c r="O43" s="7"/>
      <c r="P43" s="7"/>
      <c r="Q43" s="7"/>
      <c r="R43" s="7"/>
    </row>
    <row r="44" spans="2:18" x14ac:dyDescent="0.25">
      <c r="B44"/>
      <c r="C44"/>
      <c r="I44" s="7"/>
      <c r="J44" s="7"/>
      <c r="K44" s="7"/>
      <c r="L44" s="7"/>
      <c r="M44" s="7"/>
      <c r="N44" s="7"/>
      <c r="O44" s="7"/>
      <c r="P44" s="7"/>
      <c r="Q44" s="7"/>
      <c r="R44" s="7"/>
    </row>
    <row r="45" spans="2:18" x14ac:dyDescent="0.25">
      <c r="B45"/>
      <c r="C45"/>
      <c r="I45" s="7"/>
      <c r="J45" s="7"/>
      <c r="K45" s="7"/>
      <c r="L45" s="7"/>
      <c r="M45" s="7"/>
      <c r="N45" s="7"/>
      <c r="O45" s="7"/>
      <c r="P45" s="7"/>
      <c r="Q45" s="7"/>
      <c r="R45" s="7"/>
    </row>
    <row r="46" spans="2:18" x14ac:dyDescent="0.25">
      <c r="I46" s="7"/>
      <c r="J46" s="7"/>
      <c r="K46" s="7"/>
      <c r="L46" s="7"/>
      <c r="M46" s="7"/>
      <c r="N46" s="7"/>
      <c r="O46" s="7"/>
      <c r="P46" s="7"/>
      <c r="Q46" s="7"/>
      <c r="R46" s="7"/>
    </row>
    <row r="47" spans="2:18" x14ac:dyDescent="0.25">
      <c r="I47" s="7"/>
      <c r="J47" s="7"/>
      <c r="K47" s="7"/>
      <c r="L47" s="7"/>
      <c r="M47" s="7"/>
      <c r="N47" s="7"/>
      <c r="O47" s="7"/>
      <c r="P47" s="7"/>
      <c r="Q47" s="7"/>
      <c r="R47" s="7"/>
    </row>
    <row r="48" spans="2:18" x14ac:dyDescent="0.25">
      <c r="I48" s="7"/>
      <c r="J48" s="7"/>
      <c r="K48" s="7"/>
      <c r="L48" s="7"/>
      <c r="M48" s="7"/>
      <c r="N48" s="7"/>
      <c r="O48" s="7"/>
      <c r="P48" s="7"/>
      <c r="Q48" s="7"/>
      <c r="R48" s="7"/>
    </row>
    <row r="49" spans="1:20" x14ac:dyDescent="0.25">
      <c r="I49" s="7"/>
      <c r="J49" s="7"/>
      <c r="K49" s="7"/>
      <c r="L49" s="7"/>
      <c r="M49" s="7"/>
      <c r="N49" s="7"/>
      <c r="O49" s="7"/>
      <c r="P49" s="7"/>
      <c r="Q49" s="7"/>
      <c r="R49" s="7"/>
    </row>
    <row r="50" spans="1:20" x14ac:dyDescent="0.25">
      <c r="I50" s="7"/>
      <c r="J50" s="7"/>
      <c r="K50" s="7"/>
      <c r="L50" s="7"/>
      <c r="M50" s="7"/>
      <c r="N50" s="7"/>
      <c r="O50" s="7"/>
      <c r="P50" s="7"/>
      <c r="Q50" s="7"/>
      <c r="R50" s="7"/>
    </row>
    <row r="51" spans="1:20" x14ac:dyDescent="0.25">
      <c r="I51" s="7"/>
      <c r="J51" s="7"/>
      <c r="K51" s="7"/>
      <c r="L51" s="7"/>
      <c r="M51" s="7"/>
      <c r="N51" s="7"/>
      <c r="O51" s="7"/>
      <c r="P51" s="7"/>
      <c r="Q51" s="7"/>
      <c r="R51" s="7"/>
    </row>
    <row r="52" spans="1:20" x14ac:dyDescent="0.25">
      <c r="I52" s="7"/>
      <c r="J52" s="7"/>
      <c r="K52" s="7"/>
      <c r="L52" s="7"/>
      <c r="M52" s="7"/>
      <c r="N52" s="7"/>
      <c r="O52" s="7"/>
      <c r="P52" s="7"/>
      <c r="Q52" s="7"/>
      <c r="R52" s="7"/>
    </row>
    <row r="53" spans="1:20" x14ac:dyDescent="0.25">
      <c r="I53" s="7"/>
      <c r="J53" s="7"/>
      <c r="K53" s="7"/>
      <c r="L53" s="7"/>
      <c r="M53" s="7"/>
      <c r="N53" s="7"/>
      <c r="O53" s="7"/>
      <c r="P53" s="7"/>
      <c r="Q53" s="7"/>
      <c r="R53" s="7"/>
    </row>
    <row r="54" spans="1:20" x14ac:dyDescent="0.25">
      <c r="I54" s="7"/>
      <c r="J54" s="7"/>
      <c r="K54" s="7"/>
      <c r="L54" s="7"/>
      <c r="M54" s="7"/>
      <c r="N54" s="7"/>
      <c r="O54" s="7"/>
      <c r="P54" s="7"/>
      <c r="Q54" s="7"/>
      <c r="R54" s="7"/>
    </row>
    <row r="55" spans="1:20" x14ac:dyDescent="0.25">
      <c r="I55" s="7"/>
      <c r="J55" s="7"/>
      <c r="K55" s="7"/>
      <c r="L55" s="7"/>
      <c r="M55" s="7"/>
      <c r="N55" s="7"/>
      <c r="O55" s="7"/>
      <c r="P55" s="7"/>
      <c r="Q55" s="7"/>
      <c r="R55" s="7"/>
    </row>
    <row r="56" spans="1:20" x14ac:dyDescent="0.25">
      <c r="I56" s="7"/>
      <c r="J56" s="7"/>
      <c r="K56" s="7"/>
      <c r="L56" s="7"/>
      <c r="M56" s="7"/>
      <c r="N56" s="7"/>
      <c r="O56" s="7"/>
      <c r="P56" s="7"/>
      <c r="Q56" s="7"/>
      <c r="R56" s="7"/>
    </row>
    <row r="57" spans="1:20" x14ac:dyDescent="0.25">
      <c r="I57" s="7"/>
      <c r="J57" s="7"/>
      <c r="K57" s="7"/>
      <c r="L57" s="7"/>
      <c r="M57" s="7"/>
      <c r="N57" s="7"/>
      <c r="O57" s="7"/>
      <c r="P57" s="7"/>
      <c r="Q57" s="7"/>
      <c r="R57" s="7"/>
    </row>
    <row r="58" spans="1:20" x14ac:dyDescent="0.25">
      <c r="I58" s="7"/>
      <c r="J58" s="7"/>
      <c r="K58" s="7"/>
      <c r="L58" s="7"/>
      <c r="M58" s="7"/>
      <c r="N58" s="7"/>
      <c r="O58" s="7"/>
      <c r="P58" s="7"/>
      <c r="Q58" s="7"/>
      <c r="R58" s="7"/>
    </row>
    <row r="62" spans="1:20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</row>
    <row r="65" spans="3:20" x14ac:dyDescent="0.25">
      <c r="T65" s="4"/>
    </row>
    <row r="66" spans="3:20" x14ac:dyDescent="0.25">
      <c r="T66" s="4"/>
    </row>
    <row r="67" spans="3:20" ht="18.75" x14ac:dyDescent="0.25">
      <c r="D67" s="93" t="s">
        <v>71</v>
      </c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T67" s="4"/>
    </row>
    <row r="68" spans="3:20" x14ac:dyDescent="0.25">
      <c r="D68" s="8" t="s">
        <v>31</v>
      </c>
      <c r="E68" s="8" t="s">
        <v>32</v>
      </c>
      <c r="F68" s="8" t="s">
        <v>33</v>
      </c>
      <c r="G68" s="8" t="s">
        <v>34</v>
      </c>
      <c r="H68" s="8" t="s">
        <v>35</v>
      </c>
      <c r="I68" s="8" t="s">
        <v>36</v>
      </c>
      <c r="J68" s="8" t="s">
        <v>37</v>
      </c>
      <c r="K68" s="8" t="s">
        <v>38</v>
      </c>
      <c r="L68" s="8" t="s">
        <v>39</v>
      </c>
      <c r="M68" s="8" t="s">
        <v>40</v>
      </c>
      <c r="N68" s="8" t="s">
        <v>41</v>
      </c>
      <c r="O68" s="8" t="s">
        <v>42</v>
      </c>
      <c r="P68" s="25" t="s">
        <v>29</v>
      </c>
      <c r="T68" s="4"/>
    </row>
    <row r="69" spans="3:20" x14ac:dyDescent="0.25">
      <c r="C69" s="25" t="s">
        <v>68</v>
      </c>
      <c r="D69" s="56">
        <f>+Presupuesto!E50</f>
        <v>0</v>
      </c>
      <c r="E69" s="56">
        <f>+Presupuesto!F50</f>
        <v>0</v>
      </c>
      <c r="F69" s="56">
        <f>+Presupuesto!G50</f>
        <v>0</v>
      </c>
      <c r="G69" s="56">
        <f>+Presupuesto!H50</f>
        <v>0</v>
      </c>
      <c r="H69" s="56">
        <f>+Presupuesto!I50</f>
        <v>0</v>
      </c>
      <c r="I69" s="56">
        <f>+Presupuesto!J50</f>
        <v>0</v>
      </c>
      <c r="J69" s="56">
        <f>+Presupuesto!K50</f>
        <v>0</v>
      </c>
      <c r="K69" s="56">
        <f>+Presupuesto!L50</f>
        <v>0</v>
      </c>
      <c r="L69" s="56">
        <f>+Presupuesto!M50</f>
        <v>0</v>
      </c>
      <c r="M69" s="56">
        <f>+Presupuesto!N50</f>
        <v>0</v>
      </c>
      <c r="N69" s="56">
        <f>+Presupuesto!O50</f>
        <v>0</v>
      </c>
      <c r="O69" s="56">
        <f>+Presupuesto!P50</f>
        <v>0</v>
      </c>
      <c r="P69" s="55">
        <f>SUM(D69:O69)</f>
        <v>0</v>
      </c>
      <c r="T69" s="4"/>
    </row>
    <row r="70" spans="3:20" x14ac:dyDescent="0.25">
      <c r="C70" s="25" t="s">
        <v>67</v>
      </c>
      <c r="D70" s="56">
        <f ca="1">+E5</f>
        <v>0</v>
      </c>
      <c r="E70" s="56">
        <f t="shared" ref="E70:O70" ca="1" si="1">+F5</f>
        <v>0</v>
      </c>
      <c r="F70" s="56">
        <f t="shared" ca="1" si="1"/>
        <v>0</v>
      </c>
      <c r="G70" s="56">
        <f t="shared" ca="1" si="1"/>
        <v>0</v>
      </c>
      <c r="H70" s="56">
        <f t="shared" ca="1" si="1"/>
        <v>0</v>
      </c>
      <c r="I70" s="56">
        <f t="shared" ca="1" si="1"/>
        <v>0</v>
      </c>
      <c r="J70" s="56">
        <f t="shared" ca="1" si="1"/>
        <v>0</v>
      </c>
      <c r="K70" s="56">
        <f t="shared" ca="1" si="1"/>
        <v>0</v>
      </c>
      <c r="L70" s="56">
        <f t="shared" ca="1" si="1"/>
        <v>0</v>
      </c>
      <c r="M70" s="56">
        <f t="shared" ca="1" si="1"/>
        <v>0</v>
      </c>
      <c r="N70" s="56">
        <f t="shared" ca="1" si="1"/>
        <v>0</v>
      </c>
      <c r="O70" s="56">
        <f t="shared" ca="1" si="1"/>
        <v>0</v>
      </c>
      <c r="P70" s="55">
        <f ca="1">SUM(D70:O70)</f>
        <v>0</v>
      </c>
      <c r="T70" s="4"/>
    </row>
    <row r="71" spans="3:20" x14ac:dyDescent="0.25">
      <c r="C71" s="25" t="s">
        <v>69</v>
      </c>
      <c r="D71" s="56">
        <f ca="1">+D69-D70</f>
        <v>0</v>
      </c>
      <c r="E71" s="56">
        <f t="shared" ref="E71:O71" ca="1" si="2">+E69-E70</f>
        <v>0</v>
      </c>
      <c r="F71" s="56">
        <f t="shared" ca="1" si="2"/>
        <v>0</v>
      </c>
      <c r="G71" s="56">
        <f t="shared" ca="1" si="2"/>
        <v>0</v>
      </c>
      <c r="H71" s="56">
        <f t="shared" ca="1" si="2"/>
        <v>0</v>
      </c>
      <c r="I71" s="56">
        <f t="shared" ca="1" si="2"/>
        <v>0</v>
      </c>
      <c r="J71" s="56">
        <f t="shared" ca="1" si="2"/>
        <v>0</v>
      </c>
      <c r="K71" s="56">
        <f t="shared" ca="1" si="2"/>
        <v>0</v>
      </c>
      <c r="L71" s="56">
        <f t="shared" ca="1" si="2"/>
        <v>0</v>
      </c>
      <c r="M71" s="56">
        <f t="shared" ca="1" si="2"/>
        <v>0</v>
      </c>
      <c r="N71" s="56">
        <f t="shared" ca="1" si="2"/>
        <v>0</v>
      </c>
      <c r="O71" s="56">
        <f t="shared" ca="1" si="2"/>
        <v>0</v>
      </c>
      <c r="P71" s="55">
        <f ca="1">SUM(D71:O71)</f>
        <v>0</v>
      </c>
      <c r="T71" s="4"/>
    </row>
    <row r="72" spans="3:20" x14ac:dyDescent="0.25">
      <c r="T72" s="4"/>
    </row>
    <row r="81" spans="2:16" ht="15.75" x14ac:dyDescent="0.25">
      <c r="B81" s="54"/>
      <c r="C81" s="24"/>
    </row>
    <row r="82" spans="2:16" x14ac:dyDescent="0.25">
      <c r="B82" s="51"/>
      <c r="C82" s="52"/>
    </row>
    <row r="83" spans="2:16" x14ac:dyDescent="0.25">
      <c r="B83" s="51"/>
      <c r="C83" s="52"/>
    </row>
    <row r="84" spans="2:16" x14ac:dyDescent="0.25">
      <c r="B84" s="51"/>
      <c r="C84" s="53"/>
    </row>
    <row r="85" spans="2:16" x14ac:dyDescent="0.25">
      <c r="B85" s="21"/>
      <c r="C85" s="21"/>
    </row>
    <row r="86" spans="2:16" ht="15.75" x14ac:dyDescent="0.25">
      <c r="B86" s="54"/>
      <c r="C86" s="24"/>
    </row>
    <row r="87" spans="2:16" x14ac:dyDescent="0.25">
      <c r="B87" s="51"/>
      <c r="C87" s="52"/>
    </row>
    <row r="88" spans="2:16" x14ac:dyDescent="0.25">
      <c r="B88" s="51"/>
      <c r="C88" s="52"/>
    </row>
    <row r="89" spans="2:16" x14ac:dyDescent="0.25">
      <c r="B89" s="51"/>
      <c r="C89" s="53"/>
    </row>
    <row r="90" spans="2:16" x14ac:dyDescent="0.25">
      <c r="B90" s="21"/>
      <c r="C90" s="21"/>
    </row>
    <row r="91" spans="2:16" ht="18.75" x14ac:dyDescent="0.25">
      <c r="B91" s="54"/>
      <c r="D91" s="93" t="s">
        <v>72</v>
      </c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</row>
    <row r="92" spans="2:16" x14ac:dyDescent="0.25">
      <c r="B92" s="51"/>
      <c r="D92" s="8" t="s">
        <v>31</v>
      </c>
      <c r="E92" s="8" t="s">
        <v>32</v>
      </c>
      <c r="F92" s="8" t="s">
        <v>33</v>
      </c>
      <c r="G92" s="8" t="s">
        <v>34</v>
      </c>
      <c r="H92" s="8" t="s">
        <v>35</v>
      </c>
      <c r="I92" s="8" t="s">
        <v>36</v>
      </c>
      <c r="J92" s="8" t="s">
        <v>37</v>
      </c>
      <c r="K92" s="8" t="s">
        <v>38</v>
      </c>
      <c r="L92" s="8" t="s">
        <v>39</v>
      </c>
      <c r="M92" s="8" t="s">
        <v>40</v>
      </c>
      <c r="N92" s="8" t="s">
        <v>41</v>
      </c>
      <c r="O92" s="8" t="s">
        <v>42</v>
      </c>
      <c r="P92" s="25" t="s">
        <v>29</v>
      </c>
    </row>
    <row r="93" spans="2:16" x14ac:dyDescent="0.25">
      <c r="B93" s="51"/>
      <c r="C93" s="25" t="s">
        <v>73</v>
      </c>
      <c r="D93" s="56">
        <f>+Presupuesto!E51</f>
        <v>0</v>
      </c>
      <c r="E93" s="56">
        <f>+Presupuesto!F51</f>
        <v>0</v>
      </c>
      <c r="F93" s="56">
        <f>+Presupuesto!G51</f>
        <v>0</v>
      </c>
      <c r="G93" s="56">
        <f>+Presupuesto!H51</f>
        <v>0</v>
      </c>
      <c r="H93" s="56">
        <f>+Presupuesto!I51</f>
        <v>0</v>
      </c>
      <c r="I93" s="56">
        <f>+Presupuesto!J51</f>
        <v>0</v>
      </c>
      <c r="J93" s="56">
        <f>+Presupuesto!K51</f>
        <v>0</v>
      </c>
      <c r="K93" s="56">
        <f>+Presupuesto!L51</f>
        <v>0</v>
      </c>
      <c r="L93" s="56">
        <f>+Presupuesto!M51</f>
        <v>0</v>
      </c>
      <c r="M93" s="56">
        <f>+Presupuesto!N51</f>
        <v>0</v>
      </c>
      <c r="N93" s="56">
        <f>+Presupuesto!O51</f>
        <v>0</v>
      </c>
      <c r="O93" s="56">
        <f>+Presupuesto!P51</f>
        <v>0</v>
      </c>
      <c r="P93" s="56">
        <f>SUM(D93:O93)</f>
        <v>0</v>
      </c>
    </row>
    <row r="94" spans="2:16" x14ac:dyDescent="0.25">
      <c r="B94" s="51"/>
      <c r="C94" s="25" t="s">
        <v>74</v>
      </c>
      <c r="D94" s="56">
        <f ca="1">+E6</f>
        <v>0</v>
      </c>
      <c r="E94" s="56">
        <f t="shared" ref="E94:O94" ca="1" si="3">+F6</f>
        <v>0</v>
      </c>
      <c r="F94" s="56">
        <f t="shared" ca="1" si="3"/>
        <v>0</v>
      </c>
      <c r="G94" s="56">
        <f t="shared" ca="1" si="3"/>
        <v>0</v>
      </c>
      <c r="H94" s="56">
        <f t="shared" ca="1" si="3"/>
        <v>0</v>
      </c>
      <c r="I94" s="56">
        <f t="shared" ca="1" si="3"/>
        <v>0</v>
      </c>
      <c r="J94" s="56">
        <f t="shared" ca="1" si="3"/>
        <v>0</v>
      </c>
      <c r="K94" s="56">
        <f t="shared" ca="1" si="3"/>
        <v>0</v>
      </c>
      <c r="L94" s="56">
        <f t="shared" ca="1" si="3"/>
        <v>0</v>
      </c>
      <c r="M94" s="56">
        <f t="shared" ca="1" si="3"/>
        <v>0</v>
      </c>
      <c r="N94" s="56">
        <f t="shared" ca="1" si="3"/>
        <v>0</v>
      </c>
      <c r="O94" s="56">
        <f t="shared" ca="1" si="3"/>
        <v>0</v>
      </c>
      <c r="P94" s="56">
        <f ca="1">SUM(D94:O94)</f>
        <v>0</v>
      </c>
    </row>
    <row r="95" spans="2:16" ht="18.75" x14ac:dyDescent="0.3">
      <c r="B95" s="40"/>
      <c r="C95" s="25" t="s">
        <v>69</v>
      </c>
      <c r="D95" s="56">
        <f ca="1">+(D93*-1)-(D94*-1)</f>
        <v>0</v>
      </c>
      <c r="E95" s="56">
        <f t="shared" ref="E95:O95" ca="1" si="4">+(E93*-1)-(E94*-1)</f>
        <v>0</v>
      </c>
      <c r="F95" s="56">
        <f t="shared" ca="1" si="4"/>
        <v>0</v>
      </c>
      <c r="G95" s="56">
        <f t="shared" ca="1" si="4"/>
        <v>0</v>
      </c>
      <c r="H95" s="56">
        <f t="shared" ca="1" si="4"/>
        <v>0</v>
      </c>
      <c r="I95" s="56">
        <f t="shared" ca="1" si="4"/>
        <v>0</v>
      </c>
      <c r="J95" s="56">
        <f t="shared" ca="1" si="4"/>
        <v>0</v>
      </c>
      <c r="K95" s="56">
        <f t="shared" ca="1" si="4"/>
        <v>0</v>
      </c>
      <c r="L95" s="56">
        <f t="shared" ca="1" si="4"/>
        <v>0</v>
      </c>
      <c r="M95" s="56">
        <f t="shared" ca="1" si="4"/>
        <v>0</v>
      </c>
      <c r="N95" s="56">
        <f t="shared" ca="1" si="4"/>
        <v>0</v>
      </c>
      <c r="O95" s="56">
        <f t="shared" ca="1" si="4"/>
        <v>0</v>
      </c>
      <c r="P95" s="56">
        <f ca="1">SUM(D95:O95)</f>
        <v>0</v>
      </c>
    </row>
    <row r="96" spans="2:16" ht="15.75" x14ac:dyDescent="0.25">
      <c r="B96" s="54"/>
      <c r="C96" s="24"/>
    </row>
    <row r="97" spans="2:3" x14ac:dyDescent="0.25">
      <c r="B97" s="51"/>
      <c r="C97" s="52"/>
    </row>
    <row r="98" spans="2:3" x14ac:dyDescent="0.25">
      <c r="B98" s="51"/>
      <c r="C98" s="52"/>
    </row>
    <row r="99" spans="2:3" x14ac:dyDescent="0.25">
      <c r="B99" s="51"/>
      <c r="C99" s="53"/>
    </row>
    <row r="120" s="15" customFormat="1" x14ac:dyDescent="0.25"/>
  </sheetData>
  <mergeCells count="3">
    <mergeCell ref="E3:P3"/>
    <mergeCell ref="D67:O67"/>
    <mergeCell ref="D91:O91"/>
  </mergeCells>
  <phoneticPr fontId="4" type="noConversion"/>
  <conditionalFormatting sqref="E7:P7">
    <cfRule type="cellIs" dxfId="439" priority="19" operator="lessThan">
      <formula>0</formula>
    </cfRule>
    <cfRule type="cellIs" dxfId="438" priority="20" operator="greaterThan">
      <formula>0</formula>
    </cfRule>
  </conditionalFormatting>
  <conditionalFormatting sqref="E5:P6">
    <cfRule type="cellIs" dxfId="437" priority="17" operator="lessThan">
      <formula>0</formula>
    </cfRule>
    <cfRule type="cellIs" dxfId="436" priority="18" operator="greaterThan">
      <formula>0</formula>
    </cfRule>
  </conditionalFormatting>
  <conditionalFormatting sqref="C5:C7">
    <cfRule type="cellIs" dxfId="435" priority="13" operator="lessThan">
      <formula>0</formula>
    </cfRule>
    <cfRule type="cellIs" dxfId="434" priority="15" operator="greaterThan">
      <formula>0</formula>
    </cfRule>
  </conditionalFormatting>
  <conditionalFormatting sqref="C97:C99">
    <cfRule type="cellIs" dxfId="433" priority="11" operator="lessThan">
      <formula>0</formula>
    </cfRule>
    <cfRule type="cellIs" dxfId="432" priority="12" operator="greaterThan">
      <formula>0</formula>
    </cfRule>
  </conditionalFormatting>
  <conditionalFormatting sqref="C82:C84">
    <cfRule type="cellIs" dxfId="431" priority="9" operator="lessThan">
      <formula>0</formula>
    </cfRule>
    <cfRule type="cellIs" dxfId="430" priority="10" operator="greaterThan">
      <formula>0</formula>
    </cfRule>
  </conditionalFormatting>
  <conditionalFormatting sqref="C87:C89">
    <cfRule type="cellIs" dxfId="429" priority="7" operator="lessThan">
      <formula>0</formula>
    </cfRule>
    <cfRule type="cellIs" dxfId="428" priority="8" operator="greaterThan">
      <formula>0</formula>
    </cfRule>
  </conditionalFormatting>
  <conditionalFormatting sqref="D69:P71">
    <cfRule type="cellIs" dxfId="427" priority="3" operator="lessThan">
      <formula>0</formula>
    </cfRule>
    <cfRule type="cellIs" dxfId="426" priority="4" operator="greaterThan">
      <formula>0</formula>
    </cfRule>
  </conditionalFormatting>
  <conditionalFormatting sqref="D93:P95">
    <cfRule type="cellIs" dxfId="425" priority="1" operator="lessThan">
      <formula>0</formula>
    </cfRule>
    <cfRule type="cellIs" dxfId="424" priority="2" operator="greaterThan">
      <formula>0</formula>
    </cfRule>
  </conditionalFormatting>
  <printOptions horizontalCentered="1" verticalCentered="1"/>
  <pageMargins left="0.1" right="0.1" top="0.1" bottom="0.1" header="0.31496062992125984" footer="0.31496062992125984"/>
  <pageSetup scale="67" orientation="landscape" r:id="rId3"/>
  <ignoredErrors>
    <ignoredError sqref="C1:C11 C46:C65 C100:C1048576 C72:C80 P95 D96:D1048576 D72:D90 D91:P94 D1:D65 D66:P68 E1:P65 E72:P90 D69:O69 P69:P71 D70:O70 D71:O71 E96:P1048576 D95:O95" unlockedFormula="1"/>
  </ignoredErrors>
  <drawing r:id="rId4"/>
  <legacyDrawing r:id="rId5"/>
  <controls>
    <mc:AlternateContent xmlns:mc="http://schemas.openxmlformats.org/markup-compatibility/2006">
      <mc:Choice Requires="x14">
        <control shapeId="1063" r:id="rId6" name="CommandButton10">
          <controlPr defaultSize="0" print="0" autoLine="0" r:id="rId7">
            <anchor>
              <from>
                <xdr:col>17</xdr:col>
                <xdr:colOff>247650</xdr:colOff>
                <xdr:row>70</xdr:row>
                <xdr:rowOff>57150</xdr:rowOff>
              </from>
              <to>
                <xdr:col>18</xdr:col>
                <xdr:colOff>323850</xdr:colOff>
                <xdr:row>71</xdr:row>
                <xdr:rowOff>161925</xdr:rowOff>
              </to>
            </anchor>
          </controlPr>
        </control>
      </mc:Choice>
      <mc:Fallback>
        <control shapeId="1063" r:id="rId6" name="CommandButton10"/>
      </mc:Fallback>
    </mc:AlternateContent>
    <mc:AlternateContent xmlns:mc="http://schemas.openxmlformats.org/markup-compatibility/2006">
      <mc:Choice Requires="x14">
        <control shapeId="1062" r:id="rId8" name="CommandButton9">
          <controlPr defaultSize="0" print="0" autoLine="0" r:id="rId9">
            <anchor>
              <from>
                <xdr:col>17</xdr:col>
                <xdr:colOff>247650</xdr:colOff>
                <xdr:row>66</xdr:row>
                <xdr:rowOff>66675</xdr:rowOff>
              </from>
              <to>
                <xdr:col>18</xdr:col>
                <xdr:colOff>314325</xdr:colOff>
                <xdr:row>67</xdr:row>
                <xdr:rowOff>142875</xdr:rowOff>
              </to>
            </anchor>
          </controlPr>
        </control>
      </mc:Choice>
      <mc:Fallback>
        <control shapeId="1062" r:id="rId8" name="CommandButton9"/>
      </mc:Fallback>
    </mc:AlternateContent>
    <mc:AlternateContent xmlns:mc="http://schemas.openxmlformats.org/markup-compatibility/2006">
      <mc:Choice Requires="x14">
        <control shapeId="1059" r:id="rId10" name="CommandButton2">
          <controlPr defaultSize="0" print="0" autoLine="0" r:id="rId11">
            <anchor>
              <from>
                <xdr:col>16</xdr:col>
                <xdr:colOff>295275</xdr:colOff>
                <xdr:row>70</xdr:row>
                <xdr:rowOff>38100</xdr:rowOff>
              </from>
              <to>
                <xdr:col>17</xdr:col>
                <xdr:colOff>152400</xdr:colOff>
                <xdr:row>71</xdr:row>
                <xdr:rowOff>161925</xdr:rowOff>
              </to>
            </anchor>
          </controlPr>
        </control>
      </mc:Choice>
      <mc:Fallback>
        <control shapeId="1059" r:id="rId10" name="CommandButton2"/>
      </mc:Fallback>
    </mc:AlternateContent>
    <mc:AlternateContent xmlns:mc="http://schemas.openxmlformats.org/markup-compatibility/2006">
      <mc:Choice Requires="x14">
        <control shapeId="1058" r:id="rId12" name="CommandButton1">
          <controlPr defaultSize="0" print="0" autoLine="0" r:id="rId13">
            <anchor>
              <from>
                <xdr:col>16</xdr:col>
                <xdr:colOff>304800</xdr:colOff>
                <xdr:row>66</xdr:row>
                <xdr:rowOff>47625</xdr:rowOff>
              </from>
              <to>
                <xdr:col>17</xdr:col>
                <xdr:colOff>152400</xdr:colOff>
                <xdr:row>67</xdr:row>
                <xdr:rowOff>133350</xdr:rowOff>
              </to>
            </anchor>
          </controlPr>
        </control>
      </mc:Choice>
      <mc:Fallback>
        <control shapeId="1058" r:id="rId12" name="CommandButton1"/>
      </mc:Fallback>
    </mc:AlternateContent>
    <mc:AlternateContent xmlns:mc="http://schemas.openxmlformats.org/markup-compatibility/2006">
      <mc:Choice Requires="x14">
        <control shapeId="1037" r:id="rId14" name="Dash1">
          <controlPr defaultSize="0" print="0" autoLine="0" r:id="rId15">
            <anchor>
              <from>
                <xdr:col>16</xdr:col>
                <xdr:colOff>400050</xdr:colOff>
                <xdr:row>1</xdr:row>
                <xdr:rowOff>66675</xdr:rowOff>
              </from>
              <to>
                <xdr:col>17</xdr:col>
                <xdr:colOff>257175</xdr:colOff>
                <xdr:row>2</xdr:row>
                <xdr:rowOff>76200</xdr:rowOff>
              </to>
            </anchor>
          </controlPr>
        </control>
      </mc:Choice>
      <mc:Fallback>
        <control shapeId="1037" r:id="rId14" name="Dash1"/>
      </mc:Fallback>
    </mc:AlternateContent>
    <mc:AlternateContent xmlns:mc="http://schemas.openxmlformats.org/markup-compatibility/2006">
      <mc:Choice Requires="x14">
        <control shapeId="1039" r:id="rId16" name="Dash2">
          <controlPr defaultSize="0" print="0" autoLine="0" r:id="rId17">
            <anchor>
              <from>
                <xdr:col>16</xdr:col>
                <xdr:colOff>400050</xdr:colOff>
                <xdr:row>4</xdr:row>
                <xdr:rowOff>66675</xdr:rowOff>
              </from>
              <to>
                <xdr:col>17</xdr:col>
                <xdr:colOff>247650</xdr:colOff>
                <xdr:row>5</xdr:row>
                <xdr:rowOff>171450</xdr:rowOff>
              </to>
            </anchor>
          </controlPr>
        </control>
      </mc:Choice>
      <mc:Fallback>
        <control shapeId="1039" r:id="rId16" name="Dash2"/>
      </mc:Fallback>
    </mc:AlternateContent>
    <mc:AlternateContent xmlns:mc="http://schemas.openxmlformats.org/markup-compatibility/2006">
      <mc:Choice Requires="x14">
        <control shapeId="1042" r:id="rId18" name="CommandButton4">
          <controlPr defaultSize="0" print="0" autoLine="0" r:id="rId19">
            <anchor>
              <from>
                <xdr:col>17</xdr:col>
                <xdr:colOff>352425</xdr:colOff>
                <xdr:row>1</xdr:row>
                <xdr:rowOff>85725</xdr:rowOff>
              </from>
              <to>
                <xdr:col>18</xdr:col>
                <xdr:colOff>419100</xdr:colOff>
                <xdr:row>2</xdr:row>
                <xdr:rowOff>85725</xdr:rowOff>
              </to>
            </anchor>
          </controlPr>
        </control>
      </mc:Choice>
      <mc:Fallback>
        <control shapeId="1042" r:id="rId18" name="CommandButton4"/>
      </mc:Fallback>
    </mc:AlternateContent>
    <mc:AlternateContent xmlns:mc="http://schemas.openxmlformats.org/markup-compatibility/2006">
      <mc:Choice Requires="x14">
        <control shapeId="1043" r:id="rId20" name="CommandButton5">
          <controlPr defaultSize="0" print="0" autoLine="0" r:id="rId7">
            <anchor>
              <from>
                <xdr:col>17</xdr:col>
                <xdr:colOff>333375</xdr:colOff>
                <xdr:row>4</xdr:row>
                <xdr:rowOff>66675</xdr:rowOff>
              </from>
              <to>
                <xdr:col>18</xdr:col>
                <xdr:colOff>409575</xdr:colOff>
                <xdr:row>5</xdr:row>
                <xdr:rowOff>171450</xdr:rowOff>
              </to>
            </anchor>
          </controlPr>
        </control>
      </mc:Choice>
      <mc:Fallback>
        <control shapeId="1043" r:id="rId20" name="CommandButton5"/>
      </mc:Fallback>
    </mc:AlternateContent>
    <mc:AlternateContent xmlns:mc="http://schemas.openxmlformats.org/markup-compatibility/2006">
      <mc:Choice Requires="x14">
        <control shapeId="1029" r:id="rId21" name="Button 5">
          <controlPr defaultSize="0" print="0" autoFill="0" autoPict="0" macro="[0]!Config">
            <anchor>
              <from>
                <xdr:col>14</xdr:col>
                <xdr:colOff>104775</xdr:colOff>
                <xdr:row>0</xdr:row>
                <xdr:rowOff>152400</xdr:rowOff>
              </from>
              <to>
                <xdr:col>15</xdr:col>
                <xdr:colOff>438150</xdr:colOff>
                <xdr:row>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2" name="Button 7">
          <controlPr defaultSize="0" print="0" autoFill="0" autoPict="0" macro="[0]!ExportarA_PDF">
            <anchor>
              <from>
                <xdr:col>12</xdr:col>
                <xdr:colOff>95250</xdr:colOff>
                <xdr:row>0</xdr:row>
                <xdr:rowOff>142875</xdr:rowOff>
              </from>
              <to>
                <xdr:col>14</xdr:col>
                <xdr:colOff>19050</xdr:colOff>
                <xdr:row>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23" name="Button 8">
          <controlPr defaultSize="0" print="0" autoFill="0" autoPict="0" macro="[0]!Hoja_IngGas">
            <anchor>
              <from>
                <xdr:col>8</xdr:col>
                <xdr:colOff>38100</xdr:colOff>
                <xdr:row>0</xdr:row>
                <xdr:rowOff>133350</xdr:rowOff>
              </from>
              <to>
                <xdr:col>9</xdr:col>
                <xdr:colOff>381000</xdr:colOff>
                <xdr:row>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4" name="Button 9">
          <controlPr defaultSize="0" print="0" autoFill="0" autoPict="0" macro="[0]!Ajustar">
            <anchor>
              <from>
                <xdr:col>4</xdr:col>
                <xdr:colOff>9525</xdr:colOff>
                <xdr:row>0</xdr:row>
                <xdr:rowOff>142875</xdr:rowOff>
              </from>
              <to>
                <xdr:col>5</xdr:col>
                <xdr:colOff>381000</xdr:colOff>
                <xdr:row>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5" name="Button 10">
          <controlPr defaultSize="0" print="0" autoFill="0" autoPict="0" macro="[0]!Hoja_Presupuesto">
            <anchor>
              <from>
                <xdr:col>6</xdr:col>
                <xdr:colOff>47625</xdr:colOff>
                <xdr:row>0</xdr:row>
                <xdr:rowOff>142875</xdr:rowOff>
              </from>
              <to>
                <xdr:col>7</xdr:col>
                <xdr:colOff>371475</xdr:colOff>
                <xdr:row>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26" name="Button 11">
          <controlPr defaultSize="0" print="0" autoFill="0" autoPict="0" macro="[0]!Ahorro">
            <anchor>
              <from>
                <xdr:col>10</xdr:col>
                <xdr:colOff>85725</xdr:colOff>
                <xdr:row>0</xdr:row>
                <xdr:rowOff>142875</xdr:rowOff>
              </from>
              <to>
                <xdr:col>11</xdr:col>
                <xdr:colOff>419100</xdr:colOff>
                <xdr:row>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27" name="Group Box 12">
          <controlPr defaultSize="0" print="0" autoFill="0" autoPict="0">
            <anchor>
              <from>
                <xdr:col>16</xdr:col>
                <xdr:colOff>266700</xdr:colOff>
                <xdr:row>0</xdr:row>
                <xdr:rowOff>238125</xdr:rowOff>
              </from>
              <to>
                <xdr:col>18</xdr:col>
                <xdr:colOff>552450</xdr:colOff>
                <xdr:row>7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28" name="Group Box 33">
          <controlPr defaultSize="0" print="0" autoFill="0" autoPict="0">
            <anchor>
              <from>
                <xdr:col>16</xdr:col>
                <xdr:colOff>161925</xdr:colOff>
                <xdr:row>64</xdr:row>
                <xdr:rowOff>133350</xdr:rowOff>
              </from>
              <to>
                <xdr:col>18</xdr:col>
                <xdr:colOff>447675</xdr:colOff>
                <xdr:row>73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29" name="Button 42">
          <controlPr defaultSize="0" print="0" autoFill="0" autoPict="0" macro="[0]!Config">
            <anchor>
              <from>
                <xdr:col>13</xdr:col>
                <xdr:colOff>390525</xdr:colOff>
                <xdr:row>62</xdr:row>
                <xdr:rowOff>171450</xdr:rowOff>
              </from>
              <to>
                <xdr:col>16</xdr:col>
                <xdr:colOff>9525</xdr:colOff>
                <xdr:row>64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30" name="Button 43">
          <controlPr defaultSize="0" print="0" autoFill="0" autoPict="0" macro="[0]!EXPORTARPDF_PRES">
            <anchor>
              <from>
                <xdr:col>11</xdr:col>
                <xdr:colOff>180975</xdr:colOff>
                <xdr:row>62</xdr:row>
                <xdr:rowOff>161925</xdr:rowOff>
              </from>
              <to>
                <xdr:col>13</xdr:col>
                <xdr:colOff>276225</xdr:colOff>
                <xdr:row>64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31" name="Button 44">
          <controlPr defaultSize="0" print="0" autoFill="0" autoPict="0" macro="[0]!Hoja_IngGas">
            <anchor>
              <from>
                <xdr:col>6</xdr:col>
                <xdr:colOff>190500</xdr:colOff>
                <xdr:row>62</xdr:row>
                <xdr:rowOff>161925</xdr:rowOff>
              </from>
              <to>
                <xdr:col>8</xdr:col>
                <xdr:colOff>257175</xdr:colOff>
                <xdr:row>64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32" name="Button 45">
          <controlPr defaultSize="0" print="0" autoFill="0" autoPict="0" macro="[0]!Ajustar2">
            <anchor>
              <from>
                <xdr:col>2</xdr:col>
                <xdr:colOff>1085850</xdr:colOff>
                <xdr:row>62</xdr:row>
                <xdr:rowOff>171450</xdr:rowOff>
              </from>
              <to>
                <xdr:col>3</xdr:col>
                <xdr:colOff>466725</xdr:colOff>
                <xdr:row>64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33" name="Button 46">
          <controlPr defaultSize="0" print="0" autoFill="0" autoPict="0" macro="[0]!Hoja_Presupuesto">
            <anchor>
              <from>
                <xdr:col>3</xdr:col>
                <xdr:colOff>590550</xdr:colOff>
                <xdr:row>62</xdr:row>
                <xdr:rowOff>171450</xdr:rowOff>
              </from>
              <to>
                <xdr:col>6</xdr:col>
                <xdr:colOff>85725</xdr:colOff>
                <xdr:row>64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34" name="Button 47">
          <controlPr defaultSize="0" print="0" autoFill="0" autoPict="0" macro="[0]!Ahorro">
            <anchor>
              <from>
                <xdr:col>8</xdr:col>
                <xdr:colOff>381000</xdr:colOff>
                <xdr:row>62</xdr:row>
                <xdr:rowOff>161925</xdr:rowOff>
              </from>
              <to>
                <xdr:col>11</xdr:col>
                <xdr:colOff>57150</xdr:colOff>
                <xdr:row>64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35" name="Button 48">
          <controlPr defaultSize="0" print="0" autoFill="0" autoPict="0" macro="[0]!Ajustar">
            <anchor>
              <from>
                <xdr:col>2</xdr:col>
                <xdr:colOff>38100</xdr:colOff>
                <xdr:row>62</xdr:row>
                <xdr:rowOff>180975</xdr:rowOff>
              </from>
              <to>
                <xdr:col>2</xdr:col>
                <xdr:colOff>971550</xdr:colOff>
                <xdr:row>64</xdr:row>
                <xdr:rowOff>180975</xdr:rowOff>
              </to>
            </anchor>
          </controlPr>
        </control>
      </mc:Choice>
    </mc:AlternateContent>
  </controls>
  <extLst>
    <ext xmlns:x14="http://schemas.microsoft.com/office/spreadsheetml/2009/9/main" uri="{A8765BA9-456A-4dab-B4F3-ACF838C121DE}">
      <x14:slicerList>
        <x14:slicer r:id="rId3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3B5A3-376A-47F2-84DB-F70896E4FFC2}">
  <sheetPr codeName="Hoja5">
    <tabColor theme="0"/>
    <pageSetUpPr fitToPage="1"/>
  </sheetPr>
  <dimension ref="A1:S54"/>
  <sheetViews>
    <sheetView zoomScale="85" zoomScaleNormal="85" workbookViewId="0">
      <selection activeCell="R48" sqref="R48"/>
    </sheetView>
  </sheetViews>
  <sheetFormatPr baseColWidth="10" defaultColWidth="0" defaultRowHeight="15" zeroHeight="1" x14ac:dyDescent="0.25"/>
  <cols>
    <col min="1" max="1" width="3.7109375" style="21" customWidth="1"/>
    <col min="2" max="2" width="24.28515625" style="21" bestFit="1" customWidth="1"/>
    <col min="3" max="3" width="14.42578125" style="21" bestFit="1" customWidth="1"/>
    <col min="4" max="4" width="9" style="21" bestFit="1" customWidth="1"/>
    <col min="5" max="5" width="17.5703125" style="21" bestFit="1" customWidth="1"/>
    <col min="6" max="6" width="15" style="21" bestFit="1" customWidth="1"/>
    <col min="7" max="7" width="16.140625" style="21" bestFit="1" customWidth="1"/>
    <col min="8" max="8" width="11.85546875" style="21" bestFit="1" customWidth="1"/>
    <col min="9" max="9" width="12.140625" style="21" bestFit="1" customWidth="1"/>
    <col min="10" max="10" width="11.85546875" style="1" bestFit="1" customWidth="1"/>
    <col min="11" max="11" width="10.85546875" style="1" bestFit="1" customWidth="1"/>
    <col min="12" max="12" width="17.5703125" style="21" bestFit="1" customWidth="1"/>
    <col min="13" max="13" width="15" style="21" bestFit="1" customWidth="1"/>
    <col min="14" max="14" width="16.140625" style="21" bestFit="1" customWidth="1"/>
    <col min="15" max="15" width="11.85546875" style="21" bestFit="1" customWidth="1"/>
    <col min="16" max="16" width="12.140625" style="21" bestFit="1" customWidth="1"/>
    <col min="17" max="17" width="11.85546875" style="1" bestFit="1" customWidth="1"/>
    <col min="18" max="19" width="11.5703125" style="21" customWidth="1"/>
    <col min="20" max="20" width="11.5703125" style="21" hidden="1" customWidth="1"/>
    <col min="21" max="16384" width="11.5703125" style="21" hidden="1"/>
  </cols>
  <sheetData>
    <row r="1" spans="2:17" x14ac:dyDescent="0.25"/>
    <row r="2" spans="2:17" x14ac:dyDescent="0.25"/>
    <row r="3" spans="2:17" x14ac:dyDescent="0.25">
      <c r="L3" s="50"/>
    </row>
    <row r="4" spans="2:17" x14ac:dyDescent="0.25"/>
    <row r="5" spans="2:17" ht="18.75" x14ac:dyDescent="0.25">
      <c r="E5" s="94" t="s">
        <v>59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</row>
    <row r="6" spans="2:17" x14ac:dyDescent="0.25"/>
    <row r="7" spans="2:17" ht="18.75" x14ac:dyDescent="0.25">
      <c r="E7" s="95" t="s">
        <v>57</v>
      </c>
      <c r="F7" s="95"/>
      <c r="G7" s="95"/>
      <c r="H7" s="95"/>
      <c r="I7" s="95"/>
      <c r="L7" s="96" t="s">
        <v>55</v>
      </c>
      <c r="M7" s="96"/>
      <c r="N7" s="96"/>
      <c r="O7" s="96"/>
      <c r="P7" s="96"/>
    </row>
    <row r="8" spans="2:17" x14ac:dyDescent="0.25">
      <c r="E8" s="32" t="s">
        <v>1</v>
      </c>
      <c r="F8" s="33" t="s">
        <v>56</v>
      </c>
      <c r="G8" s="34" t="s">
        <v>2</v>
      </c>
      <c r="H8" s="34" t="s">
        <v>3</v>
      </c>
      <c r="I8" s="35" t="s">
        <v>4</v>
      </c>
      <c r="L8" s="32" t="s">
        <v>1</v>
      </c>
      <c r="M8" s="33" t="s">
        <v>56</v>
      </c>
      <c r="N8" s="34" t="s">
        <v>2</v>
      </c>
      <c r="O8" s="34" t="s">
        <v>3</v>
      </c>
      <c r="P8" s="35" t="s">
        <v>4</v>
      </c>
    </row>
    <row r="9" spans="2:17" x14ac:dyDescent="0.25">
      <c r="E9" s="28" t="s">
        <v>70</v>
      </c>
      <c r="F9" s="48" t="s">
        <v>70</v>
      </c>
      <c r="G9" s="22" t="s">
        <v>70</v>
      </c>
      <c r="H9" s="27">
        <v>0</v>
      </c>
      <c r="I9" s="29" t="str">
        <f>+IF(E9="","",IF(J9=TRUE,"Recibido","Pendiente"))</f>
        <v/>
      </c>
      <c r="J9" s="1" t="b">
        <v>1</v>
      </c>
      <c r="L9" s="28" t="s">
        <v>70</v>
      </c>
      <c r="M9" s="48" t="s">
        <v>70</v>
      </c>
      <c r="N9" s="22" t="s">
        <v>70</v>
      </c>
      <c r="O9" s="27">
        <v>0</v>
      </c>
      <c r="P9" s="29" t="str">
        <f t="shared" ref="P9:P10" si="0">+IF(L9="","",IF(Q9=TRUE,"Pagado","Pendiente"))</f>
        <v/>
      </c>
      <c r="Q9" s="1" t="b">
        <v>1</v>
      </c>
    </row>
    <row r="10" spans="2:17" x14ac:dyDescent="0.25">
      <c r="E10" s="28" t="s">
        <v>70</v>
      </c>
      <c r="F10" s="48" t="s">
        <v>70</v>
      </c>
      <c r="G10" s="22" t="s">
        <v>70</v>
      </c>
      <c r="H10" s="27">
        <v>0</v>
      </c>
      <c r="I10" s="29" t="str">
        <f t="shared" ref="I10:I22" si="1">+IF(E10="","",IF(J10=TRUE,"Recibido","Pendiente"))</f>
        <v/>
      </c>
      <c r="J10" s="1" t="b">
        <v>1</v>
      </c>
      <c r="L10" s="28" t="s">
        <v>70</v>
      </c>
      <c r="M10" s="48" t="s">
        <v>70</v>
      </c>
      <c r="N10" s="22" t="s">
        <v>70</v>
      </c>
      <c r="O10" s="27">
        <v>0</v>
      </c>
      <c r="P10" s="29" t="str">
        <f t="shared" si="0"/>
        <v/>
      </c>
      <c r="Q10" s="1" t="b">
        <v>1</v>
      </c>
    </row>
    <row r="11" spans="2:17" x14ac:dyDescent="0.25">
      <c r="E11" s="28" t="s">
        <v>70</v>
      </c>
      <c r="F11" s="48" t="s">
        <v>70</v>
      </c>
      <c r="G11" s="22" t="s">
        <v>70</v>
      </c>
      <c r="H11" s="27">
        <v>0</v>
      </c>
      <c r="I11" s="29" t="str">
        <f t="shared" si="1"/>
        <v/>
      </c>
      <c r="J11" s="1" t="b">
        <v>1</v>
      </c>
      <c r="L11" s="28" t="s">
        <v>70</v>
      </c>
      <c r="M11" s="48" t="s">
        <v>70</v>
      </c>
      <c r="N11" s="22" t="s">
        <v>70</v>
      </c>
      <c r="O11" s="27">
        <v>0</v>
      </c>
      <c r="P11" s="29" t="str">
        <f t="shared" ref="P11:P22" si="2">+IF(L11="","",IF(Q11=TRUE,"Pagado","Pendiente"))</f>
        <v/>
      </c>
      <c r="Q11" s="1" t="b">
        <v>1</v>
      </c>
    </row>
    <row r="12" spans="2:17" x14ac:dyDescent="0.25">
      <c r="E12" s="28" t="s">
        <v>70</v>
      </c>
      <c r="F12" s="48" t="s">
        <v>70</v>
      </c>
      <c r="G12" s="22" t="s">
        <v>70</v>
      </c>
      <c r="H12" s="27">
        <v>0</v>
      </c>
      <c r="I12" s="29" t="str">
        <f t="shared" si="1"/>
        <v/>
      </c>
      <c r="J12" s="1" t="b">
        <v>1</v>
      </c>
      <c r="L12" s="28" t="s">
        <v>70</v>
      </c>
      <c r="M12" s="48" t="s">
        <v>70</v>
      </c>
      <c r="N12" s="22" t="s">
        <v>70</v>
      </c>
      <c r="O12" s="27">
        <v>0</v>
      </c>
      <c r="P12" s="29" t="str">
        <f t="shared" si="2"/>
        <v/>
      </c>
      <c r="Q12" s="1" t="b">
        <v>1</v>
      </c>
    </row>
    <row r="13" spans="2:17" x14ac:dyDescent="0.25">
      <c r="E13" s="28" t="s">
        <v>70</v>
      </c>
      <c r="F13" s="48" t="s">
        <v>70</v>
      </c>
      <c r="G13" s="22" t="s">
        <v>70</v>
      </c>
      <c r="H13" s="27">
        <v>0</v>
      </c>
      <c r="I13" s="29" t="str">
        <f t="shared" si="1"/>
        <v/>
      </c>
      <c r="J13" s="1" t="b">
        <v>1</v>
      </c>
      <c r="L13" s="28" t="s">
        <v>70</v>
      </c>
      <c r="M13" s="48" t="s">
        <v>70</v>
      </c>
      <c r="N13" s="22" t="s">
        <v>70</v>
      </c>
      <c r="O13" s="27">
        <v>0</v>
      </c>
      <c r="P13" s="29" t="str">
        <f t="shared" si="2"/>
        <v/>
      </c>
      <c r="Q13" s="1" t="b">
        <v>1</v>
      </c>
    </row>
    <row r="14" spans="2:17" x14ac:dyDescent="0.25">
      <c r="E14" s="28" t="s">
        <v>70</v>
      </c>
      <c r="F14" s="48" t="s">
        <v>70</v>
      </c>
      <c r="G14" s="22" t="s">
        <v>70</v>
      </c>
      <c r="H14" s="27">
        <v>0</v>
      </c>
      <c r="I14" s="29" t="str">
        <f t="shared" si="1"/>
        <v/>
      </c>
      <c r="J14" s="1" t="b">
        <v>1</v>
      </c>
      <c r="L14" s="28" t="s">
        <v>70</v>
      </c>
      <c r="M14" s="48" t="s">
        <v>70</v>
      </c>
      <c r="N14" s="22" t="s">
        <v>70</v>
      </c>
      <c r="O14" s="27">
        <v>0</v>
      </c>
      <c r="P14" s="29" t="str">
        <f t="shared" si="2"/>
        <v/>
      </c>
      <c r="Q14" s="1" t="b">
        <v>1</v>
      </c>
    </row>
    <row r="15" spans="2:17" x14ac:dyDescent="0.25">
      <c r="E15" s="22" t="s">
        <v>70</v>
      </c>
      <c r="F15" s="48" t="s">
        <v>70</v>
      </c>
      <c r="G15" s="22" t="s">
        <v>70</v>
      </c>
      <c r="H15" s="27">
        <v>0</v>
      </c>
      <c r="I15" s="29" t="str">
        <f t="shared" si="1"/>
        <v/>
      </c>
      <c r="J15" s="1" t="b">
        <v>1</v>
      </c>
      <c r="L15" s="28" t="s">
        <v>70</v>
      </c>
      <c r="M15" s="48" t="s">
        <v>70</v>
      </c>
      <c r="N15" s="22" t="s">
        <v>70</v>
      </c>
      <c r="O15" s="27">
        <v>0</v>
      </c>
      <c r="P15" s="29" t="str">
        <f t="shared" si="2"/>
        <v/>
      </c>
      <c r="Q15" s="1" t="b">
        <v>1</v>
      </c>
    </row>
    <row r="16" spans="2:17" ht="15.75" x14ac:dyDescent="0.25">
      <c r="B16" s="43" t="s">
        <v>58</v>
      </c>
      <c r="C16" s="24"/>
      <c r="E16" s="22" t="s">
        <v>70</v>
      </c>
      <c r="F16" s="48" t="s">
        <v>70</v>
      </c>
      <c r="G16" s="22" t="s">
        <v>70</v>
      </c>
      <c r="H16" s="27">
        <v>0</v>
      </c>
      <c r="I16" s="29" t="str">
        <f t="shared" si="1"/>
        <v/>
      </c>
      <c r="J16" s="1" t="b">
        <v>1</v>
      </c>
      <c r="L16" s="26" t="s">
        <v>70</v>
      </c>
      <c r="M16" s="48" t="s">
        <v>70</v>
      </c>
      <c r="N16" s="22" t="s">
        <v>70</v>
      </c>
      <c r="O16" s="27">
        <v>0</v>
      </c>
      <c r="P16" s="29" t="str">
        <f t="shared" si="2"/>
        <v/>
      </c>
      <c r="Q16" s="1" t="b">
        <v>1</v>
      </c>
    </row>
    <row r="17" spans="2:17" ht="15" customHeight="1" x14ac:dyDescent="0.25">
      <c r="B17" s="25" t="s">
        <v>27</v>
      </c>
      <c r="C17" s="10">
        <f>+H23</f>
        <v>0</v>
      </c>
      <c r="E17" s="22" t="s">
        <v>70</v>
      </c>
      <c r="F17" s="48" t="s">
        <v>70</v>
      </c>
      <c r="G17" s="22" t="s">
        <v>70</v>
      </c>
      <c r="H17" s="27">
        <v>0</v>
      </c>
      <c r="I17" s="29" t="str">
        <f t="shared" si="1"/>
        <v/>
      </c>
      <c r="J17" s="1" t="b">
        <v>1</v>
      </c>
      <c r="L17" s="26" t="s">
        <v>70</v>
      </c>
      <c r="M17" s="48" t="s">
        <v>70</v>
      </c>
      <c r="N17" s="22" t="s">
        <v>70</v>
      </c>
      <c r="O17" s="27">
        <v>0</v>
      </c>
      <c r="P17" s="29" t="str">
        <f t="shared" si="2"/>
        <v/>
      </c>
      <c r="Q17" s="1" t="b">
        <v>1</v>
      </c>
    </row>
    <row r="18" spans="2:17" x14ac:dyDescent="0.25">
      <c r="B18" s="25" t="s">
        <v>28</v>
      </c>
      <c r="C18" s="10">
        <f>+O23</f>
        <v>0</v>
      </c>
      <c r="E18" s="22" t="s">
        <v>70</v>
      </c>
      <c r="F18" s="48" t="s">
        <v>70</v>
      </c>
      <c r="G18" s="22" t="s">
        <v>70</v>
      </c>
      <c r="H18" s="27">
        <v>0</v>
      </c>
      <c r="I18" s="29" t="str">
        <f t="shared" si="1"/>
        <v/>
      </c>
      <c r="J18" s="1" t="b">
        <v>1</v>
      </c>
      <c r="L18" s="26" t="s">
        <v>70</v>
      </c>
      <c r="M18" s="48" t="s">
        <v>70</v>
      </c>
      <c r="N18" s="22" t="s">
        <v>70</v>
      </c>
      <c r="O18" s="27">
        <v>0</v>
      </c>
      <c r="P18" s="29" t="str">
        <f t="shared" si="2"/>
        <v/>
      </c>
      <c r="Q18" s="1" t="b">
        <v>1</v>
      </c>
    </row>
    <row r="19" spans="2:17" ht="14.45" customHeight="1" x14ac:dyDescent="0.25">
      <c r="B19" s="25" t="s">
        <v>29</v>
      </c>
      <c r="C19" s="11">
        <f>+C17+C18</f>
        <v>0</v>
      </c>
      <c r="E19" s="22" t="s">
        <v>70</v>
      </c>
      <c r="F19" s="48" t="s">
        <v>70</v>
      </c>
      <c r="G19" s="22" t="s">
        <v>70</v>
      </c>
      <c r="H19" s="27">
        <v>0</v>
      </c>
      <c r="I19" s="29" t="str">
        <f t="shared" si="1"/>
        <v/>
      </c>
      <c r="J19" s="1" t="b">
        <v>1</v>
      </c>
      <c r="L19" s="26" t="s">
        <v>70</v>
      </c>
      <c r="M19" s="48" t="s">
        <v>70</v>
      </c>
      <c r="N19" s="22" t="s">
        <v>70</v>
      </c>
      <c r="O19" s="27">
        <v>0</v>
      </c>
      <c r="P19" s="29" t="str">
        <f t="shared" si="2"/>
        <v/>
      </c>
      <c r="Q19" s="1" t="b">
        <v>1</v>
      </c>
    </row>
    <row r="20" spans="2:17" x14ac:dyDescent="0.25">
      <c r="E20" s="22" t="s">
        <v>70</v>
      </c>
      <c r="F20" s="48" t="s">
        <v>70</v>
      </c>
      <c r="G20" s="22" t="s">
        <v>70</v>
      </c>
      <c r="H20" s="27">
        <v>0</v>
      </c>
      <c r="I20" s="29" t="str">
        <f t="shared" si="1"/>
        <v/>
      </c>
      <c r="J20" s="1" t="b">
        <v>1</v>
      </c>
      <c r="L20" s="26" t="s">
        <v>70</v>
      </c>
      <c r="M20" s="48" t="s">
        <v>70</v>
      </c>
      <c r="N20" s="22" t="s">
        <v>70</v>
      </c>
      <c r="O20" s="27">
        <v>0</v>
      </c>
      <c r="P20" s="29" t="str">
        <f t="shared" si="2"/>
        <v/>
      </c>
      <c r="Q20" s="1" t="b">
        <v>1</v>
      </c>
    </row>
    <row r="21" spans="2:17" ht="15.75" x14ac:dyDescent="0.25">
      <c r="B21" s="43" t="s">
        <v>60</v>
      </c>
      <c r="C21" s="24"/>
      <c r="E21" s="22" t="s">
        <v>70</v>
      </c>
      <c r="F21" s="48" t="s">
        <v>70</v>
      </c>
      <c r="G21" s="22" t="s">
        <v>70</v>
      </c>
      <c r="H21" s="27">
        <v>0</v>
      </c>
      <c r="I21" s="29" t="str">
        <f t="shared" si="1"/>
        <v/>
      </c>
      <c r="J21" s="1" t="b">
        <v>1</v>
      </c>
      <c r="L21" s="26" t="s">
        <v>70</v>
      </c>
      <c r="M21" s="48" t="s">
        <v>70</v>
      </c>
      <c r="N21" s="22" t="s">
        <v>70</v>
      </c>
      <c r="O21" s="27">
        <v>0</v>
      </c>
      <c r="P21" s="29" t="str">
        <f t="shared" si="2"/>
        <v/>
      </c>
      <c r="Q21" s="1" t="b">
        <v>0</v>
      </c>
    </row>
    <row r="22" spans="2:17" x14ac:dyDescent="0.25">
      <c r="B22" s="25" t="s">
        <v>27</v>
      </c>
      <c r="C22" s="10">
        <f>+SUMIF(Tabla2[Estado],"Recibido",Tabla2[Monto])</f>
        <v>0</v>
      </c>
      <c r="E22" s="30" t="s">
        <v>70</v>
      </c>
      <c r="F22" s="49" t="s">
        <v>70</v>
      </c>
      <c r="G22" s="30" t="s">
        <v>70</v>
      </c>
      <c r="H22" s="27">
        <v>0</v>
      </c>
      <c r="I22" s="31" t="str">
        <f t="shared" si="1"/>
        <v/>
      </c>
      <c r="J22" s="1" t="b">
        <v>1</v>
      </c>
      <c r="L22" s="26" t="s">
        <v>70</v>
      </c>
      <c r="M22" s="48" t="s">
        <v>70</v>
      </c>
      <c r="N22" s="22" t="s">
        <v>70</v>
      </c>
      <c r="O22" s="27">
        <v>0</v>
      </c>
      <c r="P22" s="29" t="str">
        <f t="shared" si="2"/>
        <v/>
      </c>
      <c r="Q22" s="1" t="b">
        <v>0</v>
      </c>
    </row>
    <row r="23" spans="2:17" x14ac:dyDescent="0.25">
      <c r="B23" s="25" t="s">
        <v>28</v>
      </c>
      <c r="C23" s="10">
        <f>+SUMIF(Tabla3[Estado],"Pagado",Tabla3[Monto])</f>
        <v>0</v>
      </c>
      <c r="G23" s="23" t="s">
        <v>29</v>
      </c>
      <c r="H23" s="36">
        <f>SUBTOTAL(109,Tabla2[Monto])</f>
        <v>0</v>
      </c>
      <c r="N23" s="42" t="s">
        <v>29</v>
      </c>
      <c r="O23" s="27">
        <f>SUBTOTAL(109,Tabla3[Monto])</f>
        <v>0</v>
      </c>
    </row>
    <row r="24" spans="2:17" x14ac:dyDescent="0.25">
      <c r="B24" s="25" t="s">
        <v>29</v>
      </c>
      <c r="C24" s="11">
        <f>+C22+C23</f>
        <v>0</v>
      </c>
    </row>
    <row r="25" spans="2:17" x14ac:dyDescent="0.25"/>
    <row r="26" spans="2:17" ht="15.75" x14ac:dyDescent="0.25">
      <c r="B26" s="43" t="s">
        <v>61</v>
      </c>
      <c r="C26" s="24"/>
    </row>
    <row r="27" spans="2:17" x14ac:dyDescent="0.25">
      <c r="B27" s="25" t="s">
        <v>27</v>
      </c>
      <c r="C27" s="10">
        <f>+SUMIF(Tabla2[Estado],"Pendiente",Tabla2[Monto])</f>
        <v>0</v>
      </c>
      <c r="L27" s="1" t="s">
        <v>23</v>
      </c>
      <c r="M27" s="1" t="s">
        <v>25</v>
      </c>
      <c r="N27"/>
    </row>
    <row r="28" spans="2:17" x14ac:dyDescent="0.25">
      <c r="B28" s="25" t="s">
        <v>28</v>
      </c>
      <c r="C28" s="10">
        <f>+SUMIF(Tabla3[Estado],"Pendiente",Tabla3[Monto])</f>
        <v>0</v>
      </c>
      <c r="E28" s="1" t="s">
        <v>23</v>
      </c>
      <c r="F28" s="1" t="s">
        <v>25</v>
      </c>
      <c r="G28"/>
      <c r="H28"/>
      <c r="I28"/>
      <c r="L28" s="60"/>
      <c r="M28" s="61">
        <v>0</v>
      </c>
      <c r="N28"/>
    </row>
    <row r="29" spans="2:17" x14ac:dyDescent="0.25">
      <c r="B29" s="25" t="s">
        <v>29</v>
      </c>
      <c r="C29" s="11">
        <f>+C27+C28</f>
        <v>0</v>
      </c>
      <c r="E29" s="60"/>
      <c r="F29" s="61">
        <v>0</v>
      </c>
      <c r="G29"/>
      <c r="H29"/>
      <c r="I29"/>
      <c r="L29" s="60" t="s">
        <v>24</v>
      </c>
      <c r="M29" s="61">
        <v>0</v>
      </c>
      <c r="N29"/>
    </row>
    <row r="30" spans="2:17" ht="18.75" x14ac:dyDescent="0.3">
      <c r="B30" s="40">
        <f ca="1">+YEAR(TODAY())</f>
        <v>2024</v>
      </c>
      <c r="C30" s="6">
        <f ca="1">+MONTH(TODAY())</f>
        <v>9</v>
      </c>
      <c r="E30" s="60" t="s">
        <v>24</v>
      </c>
      <c r="F30" s="61">
        <v>0</v>
      </c>
      <c r="G30"/>
      <c r="H30"/>
      <c r="I30"/>
      <c r="L30"/>
      <c r="M30"/>
      <c r="N30"/>
    </row>
    <row r="31" spans="2:17" ht="15.75" x14ac:dyDescent="0.25">
      <c r="B31" s="43" t="s">
        <v>62</v>
      </c>
      <c r="C31" s="37" t="str">
        <f ca="1">+UPPER(TEXT(TODAY(),"MMMM"))</f>
        <v>SEPTIEMBRE</v>
      </c>
      <c r="E31"/>
      <c r="F31"/>
      <c r="G31"/>
      <c r="H31"/>
      <c r="I31"/>
      <c r="L31"/>
      <c r="M31"/>
      <c r="N31"/>
    </row>
    <row r="32" spans="2:17" x14ac:dyDescent="0.25">
      <c r="B32" s="25" t="s">
        <v>27</v>
      </c>
      <c r="C32" s="10">
        <f ca="1">+SUMIFS(Tabla1[Monto],Tabla1[MES],C30,Tabla1[Tipo],"Ingreso",Tabla1[AÑO],B30)</f>
        <v>0</v>
      </c>
      <c r="E32"/>
      <c r="F32"/>
      <c r="G32"/>
      <c r="H32"/>
      <c r="I32"/>
      <c r="L32"/>
      <c r="M32"/>
      <c r="N32"/>
    </row>
    <row r="33" spans="2:16" x14ac:dyDescent="0.25">
      <c r="B33" s="25" t="s">
        <v>28</v>
      </c>
      <c r="C33" s="10">
        <f ca="1">+SUMIFS(Tabla1[Monto],Tabla1[MES],C30,Tabla1[Tipo],"Gasto",Tabla1[AÑO],B30)</f>
        <v>0</v>
      </c>
      <c r="E33"/>
      <c r="F33"/>
      <c r="G33"/>
      <c r="H33"/>
      <c r="I33"/>
      <c r="L33"/>
      <c r="M33"/>
      <c r="N33"/>
    </row>
    <row r="34" spans="2:16" x14ac:dyDescent="0.25">
      <c r="B34" s="25" t="s">
        <v>29</v>
      </c>
      <c r="C34" s="11">
        <f ca="1">+C32+C33</f>
        <v>0</v>
      </c>
      <c r="E34"/>
      <c r="F34"/>
      <c r="G34"/>
      <c r="H34"/>
      <c r="I34"/>
      <c r="L34"/>
      <c r="M34"/>
      <c r="N34"/>
    </row>
    <row r="35" spans="2:16" x14ac:dyDescent="0.25">
      <c r="E35"/>
      <c r="F35"/>
      <c r="G35"/>
      <c r="H35"/>
      <c r="I35"/>
      <c r="L35"/>
      <c r="M35"/>
      <c r="N35"/>
    </row>
    <row r="36" spans="2:16" x14ac:dyDescent="0.25">
      <c r="E36"/>
      <c r="F36"/>
      <c r="G36"/>
      <c r="H36"/>
      <c r="I36"/>
      <c r="L36"/>
      <c r="M36"/>
      <c r="N36"/>
    </row>
    <row r="37" spans="2:16" x14ac:dyDescent="0.25">
      <c r="E37"/>
      <c r="F37"/>
      <c r="G37"/>
      <c r="L37"/>
      <c r="M37"/>
      <c r="N37"/>
    </row>
    <row r="38" spans="2:16" x14ac:dyDescent="0.25">
      <c r="E38"/>
      <c r="F38"/>
      <c r="G38"/>
      <c r="L38"/>
      <c r="M38"/>
      <c r="N38"/>
    </row>
    <row r="39" spans="2:16" x14ac:dyDescent="0.25">
      <c r="E39"/>
      <c r="F39"/>
      <c r="G39"/>
      <c r="L39"/>
      <c r="M39"/>
      <c r="N39"/>
    </row>
    <row r="40" spans="2:16" x14ac:dyDescent="0.25">
      <c r="E40"/>
      <c r="F40"/>
      <c r="G40"/>
      <c r="L40"/>
      <c r="M40"/>
      <c r="N40"/>
    </row>
    <row r="41" spans="2:16" x14ac:dyDescent="0.25">
      <c r="E41"/>
      <c r="F41"/>
      <c r="G41"/>
      <c r="L41"/>
      <c r="M41"/>
      <c r="N41"/>
    </row>
    <row r="42" spans="2:16" x14ac:dyDescent="0.25">
      <c r="E42"/>
      <c r="F42"/>
      <c r="G42"/>
      <c r="L42"/>
      <c r="M42"/>
      <c r="N42"/>
    </row>
    <row r="43" spans="2:16" x14ac:dyDescent="0.25">
      <c r="E43"/>
      <c r="F43"/>
      <c r="G43"/>
      <c r="L43"/>
      <c r="M43"/>
      <c r="N43"/>
    </row>
    <row r="44" spans="2:16" x14ac:dyDescent="0.25">
      <c r="E44"/>
      <c r="F44"/>
      <c r="G44"/>
      <c r="L44"/>
      <c r="M44"/>
      <c r="N44"/>
    </row>
    <row r="45" spans="2:16" x14ac:dyDescent="0.25">
      <c r="E45"/>
      <c r="F45"/>
      <c r="G45"/>
    </row>
    <row r="46" spans="2:16" x14ac:dyDescent="0.25"/>
    <row r="47" spans="2:16" x14ac:dyDescent="0.25"/>
    <row r="48" spans="2:16" ht="18.75" x14ac:dyDescent="0.25">
      <c r="E48" s="93" t="s">
        <v>66</v>
      </c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</row>
    <row r="49" spans="4:16" x14ac:dyDescent="0.25">
      <c r="D49" s="57">
        <f ca="1">+YEAR(TODAY())</f>
        <v>2024</v>
      </c>
      <c r="E49" s="58" t="s">
        <v>31</v>
      </c>
      <c r="F49" s="58" t="s">
        <v>32</v>
      </c>
      <c r="G49" s="58" t="s">
        <v>33</v>
      </c>
      <c r="H49" s="58" t="s">
        <v>34</v>
      </c>
      <c r="I49" s="58" t="s">
        <v>35</v>
      </c>
      <c r="J49" s="58" t="s">
        <v>36</v>
      </c>
      <c r="K49" s="58" t="s">
        <v>37</v>
      </c>
      <c r="L49" s="58" t="s">
        <v>38</v>
      </c>
      <c r="M49" s="58" t="s">
        <v>39</v>
      </c>
      <c r="N49" s="58" t="s">
        <v>40</v>
      </c>
      <c r="O49" s="58" t="s">
        <v>41</v>
      </c>
      <c r="P49" s="58" t="s">
        <v>42</v>
      </c>
    </row>
    <row r="50" spans="4:16" x14ac:dyDescent="0.25">
      <c r="D50" s="18" t="s">
        <v>47</v>
      </c>
      <c r="E50" s="62"/>
      <c r="F50" s="62"/>
      <c r="G50" s="62"/>
      <c r="H50" s="62"/>
      <c r="I50" s="62"/>
      <c r="J50" s="62"/>
      <c r="K50" s="62"/>
      <c r="L50" s="62"/>
      <c r="M50" s="63"/>
      <c r="N50" s="62"/>
      <c r="O50" s="62"/>
      <c r="P50" s="62"/>
    </row>
    <row r="51" spans="4:16" x14ac:dyDescent="0.25">
      <c r="D51" s="18" t="s">
        <v>48</v>
      </c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</row>
    <row r="52" spans="4:16" x14ac:dyDescent="0.25"/>
    <row r="53" spans="4:16" x14ac:dyDescent="0.25"/>
    <row r="54" spans="4:16" x14ac:dyDescent="0.25"/>
  </sheetData>
  <mergeCells count="4">
    <mergeCell ref="E5:P5"/>
    <mergeCell ref="E7:I7"/>
    <mergeCell ref="L7:P7"/>
    <mergeCell ref="E48:P48"/>
  </mergeCells>
  <conditionalFormatting sqref="C32:C34">
    <cfRule type="cellIs" dxfId="358" priority="47" operator="lessThan">
      <formula>0</formula>
    </cfRule>
    <cfRule type="cellIs" dxfId="357" priority="48" operator="greaterThan">
      <formula>0</formula>
    </cfRule>
  </conditionalFormatting>
  <conditionalFormatting sqref="C17:C19">
    <cfRule type="cellIs" dxfId="356" priority="45" operator="lessThan">
      <formula>0</formula>
    </cfRule>
    <cfRule type="cellIs" dxfId="355" priority="46" operator="greaterThan">
      <formula>0</formula>
    </cfRule>
  </conditionalFormatting>
  <conditionalFormatting sqref="E9:I9">
    <cfRule type="expression" dxfId="354" priority="44">
      <formula>$I$9="Recibido"</formula>
    </cfRule>
  </conditionalFormatting>
  <conditionalFormatting sqref="E16:I16">
    <cfRule type="expression" dxfId="353" priority="35">
      <formula>$I$16="Recibido"</formula>
    </cfRule>
  </conditionalFormatting>
  <conditionalFormatting sqref="E17:I17">
    <cfRule type="expression" dxfId="352" priority="34">
      <formula>$I$17="Recibido"</formula>
    </cfRule>
  </conditionalFormatting>
  <conditionalFormatting sqref="E18:G18 I18">
    <cfRule type="expression" dxfId="351" priority="33">
      <formula>$I$18="Recibido"</formula>
    </cfRule>
  </conditionalFormatting>
  <conditionalFormatting sqref="E19:G19 I19">
    <cfRule type="expression" dxfId="350" priority="32">
      <formula>$I$19="Recibido"</formula>
    </cfRule>
  </conditionalFormatting>
  <conditionalFormatting sqref="E20:G20 I20">
    <cfRule type="expression" dxfId="349" priority="31">
      <formula>$I$20="Recibido"</formula>
    </cfRule>
  </conditionalFormatting>
  <conditionalFormatting sqref="E21:G21 I21">
    <cfRule type="expression" dxfId="348" priority="30">
      <formula>$I$21="Recibido"</formula>
    </cfRule>
  </conditionalFormatting>
  <conditionalFormatting sqref="E22:G22 I22">
    <cfRule type="expression" dxfId="347" priority="29">
      <formula>$I$22="Recibido"</formula>
    </cfRule>
  </conditionalFormatting>
  <conditionalFormatting sqref="L9:P9">
    <cfRule type="expression" dxfId="346" priority="28">
      <formula>$P$9="Pagado"</formula>
    </cfRule>
  </conditionalFormatting>
  <conditionalFormatting sqref="L10:P10">
    <cfRule type="expression" dxfId="345" priority="26">
      <formula>$P$10="Pagado"</formula>
    </cfRule>
  </conditionalFormatting>
  <conditionalFormatting sqref="L11:P11">
    <cfRule type="expression" dxfId="344" priority="25">
      <formula>$P$11="Pagado"</formula>
    </cfRule>
  </conditionalFormatting>
  <conditionalFormatting sqref="L12:P12">
    <cfRule type="expression" dxfId="343" priority="24">
      <formula>$P$12="Pagado"</formula>
    </cfRule>
  </conditionalFormatting>
  <conditionalFormatting sqref="L13:P13">
    <cfRule type="expression" dxfId="342" priority="22">
      <formula>$P$13="Pagado"</formula>
    </cfRule>
  </conditionalFormatting>
  <conditionalFormatting sqref="L14:P14">
    <cfRule type="expression" dxfId="341" priority="21">
      <formula>$P$14="Pagado"</formula>
    </cfRule>
  </conditionalFormatting>
  <conditionalFormatting sqref="L15:P15">
    <cfRule type="expression" dxfId="340" priority="20">
      <formula>$P$15="Pagado"</formula>
    </cfRule>
  </conditionalFormatting>
  <conditionalFormatting sqref="L17:P17">
    <cfRule type="expression" dxfId="339" priority="18">
      <formula>$P$17="Pagado"</formula>
    </cfRule>
  </conditionalFormatting>
  <conditionalFormatting sqref="L18:P18">
    <cfRule type="expression" dxfId="338" priority="17">
      <formula>$P$18="Pagado"</formula>
    </cfRule>
  </conditionalFormatting>
  <conditionalFormatting sqref="L19:P19">
    <cfRule type="expression" dxfId="337" priority="16">
      <formula>$P$19="Pagado"</formula>
    </cfRule>
  </conditionalFormatting>
  <conditionalFormatting sqref="L20:P20">
    <cfRule type="expression" dxfId="336" priority="15">
      <formula>$P$20="Pagado"</formula>
    </cfRule>
  </conditionalFormatting>
  <conditionalFormatting sqref="L21:P21">
    <cfRule type="expression" dxfId="335" priority="14">
      <formula>$P$21="Pagado"</formula>
    </cfRule>
  </conditionalFormatting>
  <conditionalFormatting sqref="L22:P22">
    <cfRule type="expression" dxfId="334" priority="13">
      <formula>$P$22="Pagado"</formula>
    </cfRule>
  </conditionalFormatting>
  <conditionalFormatting sqref="L16:P16">
    <cfRule type="expression" dxfId="333" priority="12">
      <formula>$P$16="Pagado"</formula>
    </cfRule>
  </conditionalFormatting>
  <conditionalFormatting sqref="C22:C24">
    <cfRule type="cellIs" dxfId="332" priority="10" operator="lessThan">
      <formula>0</formula>
    </cfRule>
    <cfRule type="cellIs" dxfId="331" priority="11" operator="greaterThan">
      <formula>0</formula>
    </cfRule>
  </conditionalFormatting>
  <conditionalFormatting sqref="C27:C29">
    <cfRule type="cellIs" dxfId="330" priority="8" operator="lessThan">
      <formula>0</formula>
    </cfRule>
    <cfRule type="cellIs" dxfId="329" priority="9" operator="greaterThan">
      <formula>0</formula>
    </cfRule>
  </conditionalFormatting>
  <conditionalFormatting sqref="E10:I10">
    <cfRule type="expression" dxfId="328" priority="7">
      <formula>$I$10="RECIBIDO"</formula>
    </cfRule>
  </conditionalFormatting>
  <conditionalFormatting sqref="E11:I11">
    <cfRule type="expression" dxfId="327" priority="6">
      <formula>$I$11="Recibido"</formula>
    </cfRule>
  </conditionalFormatting>
  <conditionalFormatting sqref="E12:I12">
    <cfRule type="expression" dxfId="326" priority="5">
      <formula>$I$12="Recibido"</formula>
    </cfRule>
  </conditionalFormatting>
  <conditionalFormatting sqref="E13:I13">
    <cfRule type="expression" dxfId="325" priority="4">
      <formula>$I$13="Recibido"</formula>
    </cfRule>
  </conditionalFormatting>
  <conditionalFormatting sqref="E14:I14">
    <cfRule type="expression" dxfId="324" priority="3">
      <formula>$I$14="Recibido"</formula>
    </cfRule>
  </conditionalFormatting>
  <conditionalFormatting sqref="E15:I15">
    <cfRule type="expression" dxfId="323" priority="2">
      <formula>$I$15="Recibido"</formula>
    </cfRule>
  </conditionalFormatting>
  <conditionalFormatting sqref="H18:H22">
    <cfRule type="expression" dxfId="322" priority="1">
      <formula>$I$17="Recibido"</formula>
    </cfRule>
  </conditionalFormatting>
  <dataValidations count="4">
    <dataValidation type="list" allowBlank="1" showInputMessage="1" showErrorMessage="1" sqref="E9:E22" xr:uid="{AEA14F37-1C81-47AC-BB4F-CBDE8D92CE11}">
      <formula1>Categoria_ingresos</formula1>
    </dataValidation>
    <dataValidation type="list" allowBlank="1" showInputMessage="1" showErrorMessage="1" sqref="L9:L22" xr:uid="{E3C03D13-A775-4CAE-8F8C-573F9A88F813}">
      <formula1>Categoria_Gastos</formula1>
    </dataValidation>
    <dataValidation type="whole" operator="lessThan" allowBlank="1" showInputMessage="1" showErrorMessage="1" error="Solo Permite valores negativos" sqref="O9:O22" xr:uid="{01D3D8B4-0ED1-4294-85A7-53102FA69372}">
      <formula1>0</formula1>
    </dataValidation>
    <dataValidation type="whole" operator="greaterThan" allowBlank="1" showInputMessage="1" showErrorMessage="1" error="Solo permite numeros &lt; 0" sqref="H9:H22" xr:uid="{2F7CA5A8-7B2E-4869-8108-43604C264B21}">
      <formula1>0</formula1>
    </dataValidation>
  </dataValidations>
  <printOptions horizontalCentered="1" verticalCentered="1"/>
  <pageMargins left="0.1" right="0.1" top="0.1" bottom="0.1" header="0.3" footer="0.3"/>
  <pageSetup scale="56" fitToHeight="0" orientation="landscape" r:id="rId3"/>
  <ignoredErrors>
    <ignoredError sqref="B3:C15 B38:C1048576 C17:C20 C22:C24 C27:C29 C31:C34 B30:C30" unlockedFormula="1"/>
    <ignoredError sqref="P22 P9 P10 P11 P12 P13 P14 P15 P16 P17 P18 P19 P20 P21" listDataValidation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Check Box 1">
              <controlPr defaultSize="0" print="0" autoFill="0" autoLine="0" autoPict="0">
                <anchor>
                  <from>
                    <xdr:col>3</xdr:col>
                    <xdr:colOff>342900</xdr:colOff>
                    <xdr:row>7</xdr:row>
                    <xdr:rowOff>171450</xdr:rowOff>
                  </from>
                  <to>
                    <xdr:col>3</xdr:col>
                    <xdr:colOff>581025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print="0" autoFill="0" autoLine="0" autoPict="0">
                <anchor>
                  <from>
                    <xdr:col>3</xdr:col>
                    <xdr:colOff>342900</xdr:colOff>
                    <xdr:row>8</xdr:row>
                    <xdr:rowOff>171450</xdr:rowOff>
                  </from>
                  <to>
                    <xdr:col>3</xdr:col>
                    <xdr:colOff>581025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heck Box 6">
              <controlPr defaultSize="0" print="0" autoFill="0" autoLine="0" autoPict="0">
                <anchor>
                  <from>
                    <xdr:col>3</xdr:col>
                    <xdr:colOff>352425</xdr:colOff>
                    <xdr:row>9</xdr:row>
                    <xdr:rowOff>171450</xdr:rowOff>
                  </from>
                  <to>
                    <xdr:col>3</xdr:col>
                    <xdr:colOff>590550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heck Box 7">
              <controlPr defaultSize="0" print="0" autoFill="0" autoLine="0" autoPict="0">
                <anchor>
                  <from>
                    <xdr:col>3</xdr:col>
                    <xdr:colOff>352425</xdr:colOff>
                    <xdr:row>10</xdr:row>
                    <xdr:rowOff>180975</xdr:rowOff>
                  </from>
                  <to>
                    <xdr:col>3</xdr:col>
                    <xdr:colOff>590550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heck Box 8">
              <controlPr defaultSize="0" print="0" autoFill="0" autoLine="0" autoPict="0">
                <anchor>
                  <from>
                    <xdr:col>3</xdr:col>
                    <xdr:colOff>352425</xdr:colOff>
                    <xdr:row>11</xdr:row>
                    <xdr:rowOff>180975</xdr:rowOff>
                  </from>
                  <to>
                    <xdr:col>3</xdr:col>
                    <xdr:colOff>590550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heck Box 9">
              <controlPr defaultSize="0" print="0" autoFill="0" autoLine="0" autoPict="0">
                <anchor>
                  <from>
                    <xdr:col>3</xdr:col>
                    <xdr:colOff>352425</xdr:colOff>
                    <xdr:row>12</xdr:row>
                    <xdr:rowOff>171450</xdr:rowOff>
                  </from>
                  <to>
                    <xdr:col>3</xdr:col>
                    <xdr:colOff>590550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heck Box 10">
              <controlPr defaultSize="0" print="0" autoFill="0" autoLine="0" autoPict="0">
                <anchor>
                  <from>
                    <xdr:col>3</xdr:col>
                    <xdr:colOff>361950</xdr:colOff>
                    <xdr:row>13</xdr:row>
                    <xdr:rowOff>171450</xdr:rowOff>
                  </from>
                  <to>
                    <xdr:col>3</xdr:col>
                    <xdr:colOff>590550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heck Box 11">
              <controlPr defaultSize="0" print="0" autoFill="0" autoLine="0" autoPict="0">
                <anchor>
                  <from>
                    <xdr:col>3</xdr:col>
                    <xdr:colOff>361950</xdr:colOff>
                    <xdr:row>14</xdr:row>
                    <xdr:rowOff>180975</xdr:rowOff>
                  </from>
                  <to>
                    <xdr:col>3</xdr:col>
                    <xdr:colOff>600075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heck Box 12">
              <controlPr defaultSize="0" print="0" autoFill="0" autoLine="0" autoPict="0">
                <anchor>
                  <from>
                    <xdr:col>3</xdr:col>
                    <xdr:colOff>371475</xdr:colOff>
                    <xdr:row>15</xdr:row>
                    <xdr:rowOff>190500</xdr:rowOff>
                  </from>
                  <to>
                    <xdr:col>4</xdr:col>
                    <xdr:colOff>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heck Box 13">
              <controlPr defaultSize="0" print="0" autoFill="0" autoLine="0" autoPict="0">
                <anchor>
                  <from>
                    <xdr:col>3</xdr:col>
                    <xdr:colOff>371475</xdr:colOff>
                    <xdr:row>16</xdr:row>
                    <xdr:rowOff>171450</xdr:rowOff>
                  </from>
                  <to>
                    <xdr:col>4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heck Box 14">
              <controlPr defaultSize="0" print="0" autoFill="0" autoLine="0" autoPict="0">
                <anchor>
                  <from>
                    <xdr:col>3</xdr:col>
                    <xdr:colOff>371475</xdr:colOff>
                    <xdr:row>17</xdr:row>
                    <xdr:rowOff>171450</xdr:rowOff>
                  </from>
                  <to>
                    <xdr:col>4</xdr:col>
                    <xdr:colOff>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Check Box 15">
              <controlPr defaultSize="0" print="0" autoFill="0" autoLine="0" autoPict="0">
                <anchor>
                  <from>
                    <xdr:col>3</xdr:col>
                    <xdr:colOff>371475</xdr:colOff>
                    <xdr:row>18</xdr:row>
                    <xdr:rowOff>180975</xdr:rowOff>
                  </from>
                  <to>
                    <xdr:col>4</xdr:col>
                    <xdr:colOff>0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Check Box 16">
              <controlPr defaultSize="0" print="0" autoFill="0" autoLine="0" autoPict="0">
                <anchor>
                  <from>
                    <xdr:col>3</xdr:col>
                    <xdr:colOff>381000</xdr:colOff>
                    <xdr:row>19</xdr:row>
                    <xdr:rowOff>190500</xdr:rowOff>
                  </from>
                  <to>
                    <xdr:col>4</xdr:col>
                    <xdr:colOff>9525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Check Box 17">
              <controlPr defaultSize="0" print="0" autoFill="0" autoLine="0" autoPict="0">
                <anchor>
                  <from>
                    <xdr:col>3</xdr:col>
                    <xdr:colOff>381000</xdr:colOff>
                    <xdr:row>20</xdr:row>
                    <xdr:rowOff>200025</xdr:rowOff>
                  </from>
                  <to>
                    <xdr:col>4</xdr:col>
                    <xdr:colOff>19050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" name="Check Box 18">
              <controlPr defaultSize="0" print="0" autoFill="0" autoLine="0" autoPict="0">
                <anchor>
                  <from>
                    <xdr:col>10</xdr:col>
                    <xdr:colOff>57150</xdr:colOff>
                    <xdr:row>7</xdr:row>
                    <xdr:rowOff>161925</xdr:rowOff>
                  </from>
                  <to>
                    <xdr:col>10</xdr:col>
                    <xdr:colOff>257175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1" name="Check Box 19">
              <controlPr defaultSize="0" print="0" autoFill="0" autoLine="0" autoPict="0">
                <anchor>
                  <from>
                    <xdr:col>10</xdr:col>
                    <xdr:colOff>57150</xdr:colOff>
                    <xdr:row>8</xdr:row>
                    <xdr:rowOff>161925</xdr:rowOff>
                  </from>
                  <to>
                    <xdr:col>10</xdr:col>
                    <xdr:colOff>257175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2" name="Check Box 20">
              <controlPr defaultSize="0" print="0" autoFill="0" autoLine="0" autoPict="0">
                <anchor>
                  <from>
                    <xdr:col>10</xdr:col>
                    <xdr:colOff>57150</xdr:colOff>
                    <xdr:row>9</xdr:row>
                    <xdr:rowOff>161925</xdr:rowOff>
                  </from>
                  <to>
                    <xdr:col>10</xdr:col>
                    <xdr:colOff>266700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3" name="Check Box 21">
              <controlPr defaultSize="0" print="0" autoFill="0" autoLine="0" autoPict="0">
                <anchor>
                  <from>
                    <xdr:col>10</xdr:col>
                    <xdr:colOff>57150</xdr:colOff>
                    <xdr:row>10</xdr:row>
                    <xdr:rowOff>171450</xdr:rowOff>
                  </from>
                  <to>
                    <xdr:col>10</xdr:col>
                    <xdr:colOff>266700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4" name="Check Box 22">
              <controlPr defaultSize="0" print="0" autoFill="0" autoLine="0" autoPict="0">
                <anchor>
                  <from>
                    <xdr:col>10</xdr:col>
                    <xdr:colOff>57150</xdr:colOff>
                    <xdr:row>11</xdr:row>
                    <xdr:rowOff>171450</xdr:rowOff>
                  </from>
                  <to>
                    <xdr:col>10</xdr:col>
                    <xdr:colOff>266700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5" name="Check Box 23">
              <controlPr defaultSize="0" print="0" autoFill="0" autoLine="0" autoPict="0">
                <anchor>
                  <from>
                    <xdr:col>10</xdr:col>
                    <xdr:colOff>57150</xdr:colOff>
                    <xdr:row>12</xdr:row>
                    <xdr:rowOff>171450</xdr:rowOff>
                  </from>
                  <to>
                    <xdr:col>10</xdr:col>
                    <xdr:colOff>266700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6" name="Check Box 24">
              <controlPr defaultSize="0" print="0" autoFill="0" autoLine="0" autoPict="0">
                <anchor>
                  <from>
                    <xdr:col>10</xdr:col>
                    <xdr:colOff>66675</xdr:colOff>
                    <xdr:row>13</xdr:row>
                    <xdr:rowOff>171450</xdr:rowOff>
                  </from>
                  <to>
                    <xdr:col>10</xdr:col>
                    <xdr:colOff>266700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7" name="Check Box 25">
              <controlPr defaultSize="0" print="0" autoFill="0" autoLine="0" autoPict="0">
                <anchor>
                  <from>
                    <xdr:col>10</xdr:col>
                    <xdr:colOff>66675</xdr:colOff>
                    <xdr:row>14</xdr:row>
                    <xdr:rowOff>171450</xdr:rowOff>
                  </from>
                  <to>
                    <xdr:col>10</xdr:col>
                    <xdr:colOff>276225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8" name="Check Box 26">
              <controlPr defaultSize="0" print="0" autoFill="0" autoLine="0" autoPict="0">
                <anchor>
                  <from>
                    <xdr:col>10</xdr:col>
                    <xdr:colOff>76200</xdr:colOff>
                    <xdr:row>15</xdr:row>
                    <xdr:rowOff>180975</xdr:rowOff>
                  </from>
                  <to>
                    <xdr:col>10</xdr:col>
                    <xdr:colOff>276225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9" name="Check Box 27">
              <controlPr defaultSize="0" print="0" autoFill="0" autoLine="0" autoPict="0">
                <anchor>
                  <from>
                    <xdr:col>10</xdr:col>
                    <xdr:colOff>76200</xdr:colOff>
                    <xdr:row>16</xdr:row>
                    <xdr:rowOff>161925</xdr:rowOff>
                  </from>
                  <to>
                    <xdr:col>10</xdr:col>
                    <xdr:colOff>276225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0" name="Check Box 28">
              <controlPr defaultSize="0" print="0" autoFill="0" autoLine="0" autoPict="0">
                <anchor>
                  <from>
                    <xdr:col>10</xdr:col>
                    <xdr:colOff>76200</xdr:colOff>
                    <xdr:row>17</xdr:row>
                    <xdr:rowOff>161925</xdr:rowOff>
                  </from>
                  <to>
                    <xdr:col>10</xdr:col>
                    <xdr:colOff>285750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1" name="Check Box 29">
              <controlPr defaultSize="0" print="0" autoFill="0" autoLine="0" autoPict="0">
                <anchor>
                  <from>
                    <xdr:col>10</xdr:col>
                    <xdr:colOff>76200</xdr:colOff>
                    <xdr:row>18</xdr:row>
                    <xdr:rowOff>171450</xdr:rowOff>
                  </from>
                  <to>
                    <xdr:col>10</xdr:col>
                    <xdr:colOff>285750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2" name="Check Box 30">
              <controlPr defaultSize="0" print="0" autoFill="0" autoLine="0" autoPict="0">
                <anchor>
                  <from>
                    <xdr:col>10</xdr:col>
                    <xdr:colOff>85725</xdr:colOff>
                    <xdr:row>19</xdr:row>
                    <xdr:rowOff>180975</xdr:rowOff>
                  </from>
                  <to>
                    <xdr:col>10</xdr:col>
                    <xdr:colOff>285750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3" name="Check Box 31">
              <controlPr defaultSize="0" print="0" autoFill="0" autoLine="0" autoPict="0">
                <anchor>
                  <from>
                    <xdr:col>10</xdr:col>
                    <xdr:colOff>85725</xdr:colOff>
                    <xdr:row>20</xdr:row>
                    <xdr:rowOff>190500</xdr:rowOff>
                  </from>
                  <to>
                    <xdr:col>10</xdr:col>
                    <xdr:colOff>295275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4" name="Button 33">
              <controlPr defaultSize="0" print="0" autoFill="0" autoPict="0" macro="[0]!HOJA_DASH_PRES">
                <anchor>
                  <from>
                    <xdr:col>5</xdr:col>
                    <xdr:colOff>533400</xdr:colOff>
                    <xdr:row>0</xdr:row>
                    <xdr:rowOff>171450</xdr:rowOff>
                  </from>
                  <to>
                    <xdr:col>6</xdr:col>
                    <xdr:colOff>866775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35" name="Button 49">
              <controlPr defaultSize="0" print="0" autoFill="0" autoPict="0" macro="[0]!Config">
                <anchor>
                  <from>
                    <xdr:col>12</xdr:col>
                    <xdr:colOff>133350</xdr:colOff>
                    <xdr:row>0</xdr:row>
                    <xdr:rowOff>161925</xdr:rowOff>
                  </from>
                  <to>
                    <xdr:col>13</xdr:col>
                    <xdr:colOff>476250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36" name="Button 50">
              <controlPr defaultSize="0" print="0" autoFill="0" autoPict="0" macro="[0]!ExportarPDF_Pronostico">
                <anchor>
                  <from>
                    <xdr:col>6</xdr:col>
                    <xdr:colOff>1028700</xdr:colOff>
                    <xdr:row>0</xdr:row>
                    <xdr:rowOff>171450</xdr:rowOff>
                  </from>
                  <to>
                    <xdr:col>8</xdr:col>
                    <xdr:colOff>495300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37" name="Button 52">
              <controlPr defaultSize="0" print="0" autoFill="0" autoPict="0" macro="[0]!Hoja_IngGas">
                <anchor>
                  <from>
                    <xdr:col>8</xdr:col>
                    <xdr:colOff>647700</xdr:colOff>
                    <xdr:row>0</xdr:row>
                    <xdr:rowOff>171450</xdr:rowOff>
                  </from>
                  <to>
                    <xdr:col>10</xdr:col>
                    <xdr:colOff>371475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38" name="Button 53">
              <controlPr defaultSize="0" print="0" autoFill="0" autoPict="0" macro="[0]!Ahorro">
                <anchor>
                  <from>
                    <xdr:col>10</xdr:col>
                    <xdr:colOff>552450</xdr:colOff>
                    <xdr:row>0</xdr:row>
                    <xdr:rowOff>161925</xdr:rowOff>
                  </from>
                  <to>
                    <xdr:col>11</xdr:col>
                    <xdr:colOff>1152525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39" name="Button 55">
              <controlPr defaultSize="0" print="0" autoFill="0" autoPict="0" macro="[0]!Asignar">
                <anchor>
                  <from>
                    <xdr:col>4</xdr:col>
                    <xdr:colOff>200025</xdr:colOff>
                    <xdr:row>0</xdr:row>
                    <xdr:rowOff>171450</xdr:rowOff>
                  </from>
                  <to>
                    <xdr:col>5</xdr:col>
                    <xdr:colOff>352425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40"/>
    <tablePart r:id="rId4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6CE59-6B83-4033-AD30-4BE5DD920F43}">
  <sheetPr codeName="Hoja2">
    <tabColor theme="4" tint="0.79998168889431442"/>
    <pageSetUpPr fitToPage="1"/>
  </sheetPr>
  <dimension ref="A1:XFD82"/>
  <sheetViews>
    <sheetView showGridLines="0" zoomScale="70" zoomScaleNormal="70" workbookViewId="0"/>
  </sheetViews>
  <sheetFormatPr baseColWidth="10" defaultColWidth="0" defaultRowHeight="15" x14ac:dyDescent="0.25"/>
  <cols>
    <col min="1" max="1" width="12.5703125" bestFit="1" customWidth="1"/>
    <col min="2" max="2" width="16.7109375" bestFit="1" customWidth="1"/>
    <col min="3" max="3" width="18.5703125" bestFit="1" customWidth="1"/>
    <col min="4" max="4" width="20.5703125" bestFit="1" customWidth="1"/>
    <col min="5" max="5" width="17.140625" style="41" bestFit="1" customWidth="1"/>
    <col min="6" max="6" width="15.28515625" bestFit="1" customWidth="1"/>
    <col min="7" max="7" width="12.5703125" style="3" bestFit="1" customWidth="1"/>
    <col min="8" max="8" width="13.140625" style="3" bestFit="1" customWidth="1"/>
    <col min="9" max="9" width="12.42578125" style="2" customWidth="1"/>
    <col min="10" max="10" width="20" style="2" bestFit="1" customWidth="1"/>
    <col min="11" max="11" width="17.7109375" style="2" bestFit="1" customWidth="1"/>
    <col min="12" max="12" width="18.7109375" style="2" bestFit="1" customWidth="1"/>
    <col min="13" max="13" width="12.85546875" style="2" bestFit="1" customWidth="1"/>
    <col min="14" max="14" width="16.7109375" style="2" bestFit="1" customWidth="1"/>
    <col min="15" max="15" width="16" style="2" bestFit="1" customWidth="1"/>
    <col min="16" max="16" width="18.7109375" style="2" bestFit="1" customWidth="1"/>
    <col min="17" max="17" width="13.140625" style="1" bestFit="1" customWidth="1"/>
    <col min="18" max="18" width="2.85546875" style="1" bestFit="1" customWidth="1"/>
    <col min="19" max="20" width="11.5703125" style="1" customWidth="1"/>
    <col min="21" max="21" width="19.28515625" style="1" customWidth="1"/>
    <col min="22" max="16384" width="0" style="1" hidden="1"/>
  </cols>
  <sheetData>
    <row r="1" spans="1:18 16384:16384" ht="18.75" x14ac:dyDescent="0.3">
      <c r="A1" s="44" t="s">
        <v>6</v>
      </c>
      <c r="B1" s="45" t="s">
        <v>0</v>
      </c>
      <c r="C1" s="45" t="s">
        <v>1</v>
      </c>
      <c r="D1" s="45" t="s">
        <v>2</v>
      </c>
      <c r="E1" s="46" t="s">
        <v>3</v>
      </c>
      <c r="F1" s="47" t="s">
        <v>4</v>
      </c>
      <c r="G1" s="47" t="s">
        <v>30</v>
      </c>
      <c r="H1" s="47" t="s">
        <v>46</v>
      </c>
      <c r="R1" s="1" t="str">
        <f>+IF(Ingresos_Gastos!J10="","V","D")</f>
        <v>V</v>
      </c>
      <c r="XFD1" s="16"/>
    </row>
    <row r="2" spans="1:18 16384:16384" x14ac:dyDescent="0.25">
      <c r="A2" s="86" t="s">
        <v>101</v>
      </c>
      <c r="B2" s="86"/>
      <c r="C2" s="86"/>
      <c r="D2" s="86"/>
      <c r="E2" s="87"/>
      <c r="F2" s="88"/>
      <c r="G2" s="92"/>
      <c r="H2" s="92"/>
      <c r="I2" s="3"/>
      <c r="J2" s="3"/>
      <c r="M2" s="3"/>
      <c r="N2" s="3"/>
    </row>
    <row r="3" spans="1:18 16384:16384" x14ac:dyDescent="0.25">
      <c r="B3" s="91"/>
      <c r="I3" s="3"/>
      <c r="J3" s="3"/>
      <c r="K3" s="3"/>
      <c r="M3" s="3"/>
      <c r="N3" s="3"/>
      <c r="P3" s="89"/>
    </row>
    <row r="4" spans="1:18 16384:16384" x14ac:dyDescent="0.25">
      <c r="I4" s="3"/>
      <c r="J4" s="3"/>
      <c r="K4" s="3"/>
      <c r="M4" s="3"/>
      <c r="N4" s="3"/>
      <c r="O4" s="3"/>
      <c r="P4" s="89"/>
    </row>
    <row r="5" spans="1:18 16384:16384" x14ac:dyDescent="0.25">
      <c r="I5" s="3"/>
      <c r="J5" s="3"/>
      <c r="K5" s="3"/>
      <c r="M5" s="3"/>
      <c r="N5" s="3"/>
      <c r="O5" s="3"/>
      <c r="P5" s="89"/>
    </row>
    <row r="6" spans="1:18 16384:16384" x14ac:dyDescent="0.25">
      <c r="I6" s="3"/>
      <c r="J6" s="3"/>
      <c r="K6" s="3"/>
      <c r="M6" s="3"/>
      <c r="N6" s="3"/>
      <c r="O6" s="3"/>
      <c r="P6" s="89"/>
    </row>
    <row r="7" spans="1:18 16384:16384" x14ac:dyDescent="0.25">
      <c r="I7" s="3"/>
      <c r="J7" s="3"/>
      <c r="K7" s="3"/>
      <c r="M7" s="3"/>
      <c r="N7" s="3"/>
      <c r="O7" s="3"/>
      <c r="P7" s="89"/>
    </row>
    <row r="8" spans="1:18 16384:16384" x14ac:dyDescent="0.25">
      <c r="I8" s="3"/>
      <c r="J8" s="90"/>
      <c r="K8" s="3"/>
      <c r="M8" s="3"/>
      <c r="N8" s="3"/>
      <c r="O8" s="3"/>
      <c r="P8" s="89"/>
    </row>
    <row r="9" spans="1:18 16384:16384" x14ac:dyDescent="0.25">
      <c r="I9" s="3"/>
      <c r="J9" s="3"/>
      <c r="K9" s="3"/>
      <c r="M9" s="3"/>
      <c r="N9" s="3"/>
      <c r="O9" s="3"/>
      <c r="P9" s="89"/>
    </row>
    <row r="10" spans="1:18 16384:16384" x14ac:dyDescent="0.25">
      <c r="I10" s="3"/>
      <c r="J10" s="3"/>
      <c r="K10" s="3"/>
      <c r="L10" s="3"/>
      <c r="M10" s="3"/>
      <c r="N10" s="3"/>
      <c r="O10" s="3"/>
      <c r="P10" s="3"/>
      <c r="Q10"/>
    </row>
    <row r="11" spans="1:18 16384:16384" x14ac:dyDescent="0.25">
      <c r="I11" s="3"/>
      <c r="J11" s="3"/>
      <c r="K11" s="3"/>
      <c r="L11" s="3"/>
      <c r="M11" s="3"/>
      <c r="N11" s="3"/>
      <c r="O11" s="3"/>
      <c r="P11" s="3"/>
      <c r="Q11"/>
    </row>
    <row r="12" spans="1:18 16384:16384" x14ac:dyDescent="0.25">
      <c r="I12" s="3"/>
      <c r="J12" s="3"/>
      <c r="K12" s="3"/>
      <c r="L12" s="3"/>
      <c r="M12" s="3"/>
      <c r="N12" s="3"/>
      <c r="O12" s="3"/>
      <c r="P12" s="3"/>
      <c r="Q12"/>
    </row>
    <row r="13" spans="1:18 16384:16384" x14ac:dyDescent="0.25">
      <c r="I13" s="3"/>
      <c r="J13" s="3"/>
      <c r="K13" s="3"/>
      <c r="L13" s="3"/>
      <c r="M13" s="3"/>
      <c r="N13" s="3"/>
      <c r="O13" s="3"/>
      <c r="P13" s="3"/>
      <c r="Q13"/>
    </row>
    <row r="14" spans="1:18 16384:16384" x14ac:dyDescent="0.25">
      <c r="I14" s="3"/>
      <c r="J14" s="3"/>
      <c r="K14" s="3"/>
      <c r="L14" s="3"/>
      <c r="M14" s="3"/>
      <c r="N14" s="3"/>
      <c r="O14" s="3"/>
      <c r="P14" s="3"/>
      <c r="Q14"/>
    </row>
    <row r="15" spans="1:18 16384:16384" x14ac:dyDescent="0.25">
      <c r="I15" s="3"/>
      <c r="J15" s="3"/>
      <c r="K15" s="3"/>
      <c r="L15" s="3"/>
      <c r="M15" s="3"/>
      <c r="N15" s="3"/>
      <c r="O15" s="3"/>
      <c r="P15" s="3"/>
      <c r="Q15"/>
    </row>
    <row r="16" spans="1:18 16384:16384" x14ac:dyDescent="0.25">
      <c r="I16" s="3"/>
      <c r="J16" s="3"/>
      <c r="K16" s="3"/>
      <c r="L16" s="3"/>
      <c r="M16" s="3"/>
      <c r="N16" s="3"/>
      <c r="O16" s="3"/>
      <c r="P16" s="3"/>
      <c r="Q16"/>
    </row>
    <row r="17" spans="9:16" x14ac:dyDescent="0.25">
      <c r="I17" s="3"/>
      <c r="J17" s="3"/>
      <c r="K17" s="3"/>
      <c r="L17" s="3"/>
      <c r="M17" s="3"/>
      <c r="N17" s="3"/>
      <c r="O17" s="3"/>
      <c r="P17" s="3"/>
    </row>
    <row r="18" spans="9:16" x14ac:dyDescent="0.25">
      <c r="I18" s="3"/>
      <c r="J18" s="3"/>
      <c r="K18" s="3"/>
      <c r="L18" s="3"/>
      <c r="M18" s="3"/>
      <c r="N18" s="3"/>
      <c r="O18" s="3"/>
      <c r="P18" s="3"/>
    </row>
    <row r="19" spans="9:16" x14ac:dyDescent="0.25">
      <c r="I19" s="3"/>
      <c r="J19" s="3"/>
      <c r="K19" s="3"/>
      <c r="L19" s="3"/>
      <c r="M19" s="3"/>
      <c r="N19" s="3"/>
      <c r="O19" s="3"/>
      <c r="P19" s="3"/>
    </row>
    <row r="20" spans="9:16" x14ac:dyDescent="0.25">
      <c r="J20" s="3"/>
      <c r="K20" s="3"/>
      <c r="L20" s="3"/>
      <c r="N20" s="3"/>
      <c r="O20" s="3"/>
      <c r="P20" s="3"/>
    </row>
    <row r="21" spans="9:16" x14ac:dyDescent="0.25">
      <c r="J21" s="3"/>
      <c r="K21" s="3"/>
      <c r="L21" s="3"/>
      <c r="N21" s="3"/>
      <c r="O21" s="3"/>
      <c r="P21" s="3"/>
    </row>
    <row r="22" spans="9:16" x14ac:dyDescent="0.25">
      <c r="J22" s="3"/>
      <c r="K22" s="3"/>
      <c r="L22" s="3"/>
      <c r="N22" s="3"/>
      <c r="O22" s="3"/>
      <c r="P22" s="3"/>
    </row>
    <row r="23" spans="9:16" x14ac:dyDescent="0.25">
      <c r="J23" s="3"/>
      <c r="K23" s="3"/>
      <c r="L23" s="3"/>
      <c r="N23" s="3"/>
      <c r="O23" s="3"/>
      <c r="P23" s="3"/>
    </row>
    <row r="24" spans="9:16" x14ac:dyDescent="0.25">
      <c r="J24" s="3"/>
      <c r="K24" s="3"/>
      <c r="L24" s="3"/>
      <c r="N24" s="3"/>
      <c r="O24" s="3"/>
      <c r="P24" s="3"/>
    </row>
    <row r="25" spans="9:16" x14ac:dyDescent="0.25">
      <c r="J25" s="3"/>
      <c r="K25" s="3"/>
      <c r="L25" s="3"/>
      <c r="N25" s="3"/>
      <c r="O25" s="3"/>
      <c r="P25" s="3"/>
    </row>
    <row r="26" spans="9:16" x14ac:dyDescent="0.25">
      <c r="J26" s="90"/>
      <c r="K26" s="3"/>
      <c r="L26" s="3"/>
      <c r="N26" s="3"/>
      <c r="O26" s="3"/>
      <c r="P26" s="3"/>
    </row>
    <row r="27" spans="9:16" x14ac:dyDescent="0.25">
      <c r="J27" s="3"/>
      <c r="K27" s="3"/>
      <c r="L27" s="3"/>
      <c r="N27" s="3"/>
      <c r="O27" s="3"/>
      <c r="P27" s="3"/>
    </row>
    <row r="28" spans="9:16" x14ac:dyDescent="0.25">
      <c r="J28" s="3"/>
      <c r="K28" s="3"/>
      <c r="L28" s="3"/>
      <c r="N28" s="3"/>
      <c r="O28" s="3"/>
      <c r="P28" s="3"/>
    </row>
    <row r="29" spans="9:16" x14ac:dyDescent="0.25">
      <c r="J29" s="3"/>
      <c r="K29" s="3"/>
      <c r="L29" s="3"/>
      <c r="N29" s="3"/>
      <c r="O29" s="3"/>
      <c r="P29" s="3"/>
    </row>
    <row r="42" spans="11:16" x14ac:dyDescent="0.25">
      <c r="K42" s="85" t="s">
        <v>6</v>
      </c>
      <c r="L42" s="84" t="s">
        <v>99</v>
      </c>
      <c r="O42" s="85" t="s">
        <v>6</v>
      </c>
      <c r="P42" s="84" t="s">
        <v>99</v>
      </c>
    </row>
    <row r="44" spans="11:16" x14ac:dyDescent="0.25">
      <c r="K44" s="81" t="s">
        <v>23</v>
      </c>
      <c r="L44" s="82" t="s">
        <v>25</v>
      </c>
      <c r="O44" s="81" t="s">
        <v>23</v>
      </c>
      <c r="P44" s="82" t="s">
        <v>25</v>
      </c>
    </row>
    <row r="45" spans="11:16" x14ac:dyDescent="0.25">
      <c r="K45" s="83" t="s">
        <v>24</v>
      </c>
      <c r="L45" s="98"/>
      <c r="O45" s="83" t="s">
        <v>24</v>
      </c>
      <c r="P45" s="98"/>
    </row>
    <row r="46" spans="11:16" x14ac:dyDescent="0.25">
      <c r="K46"/>
      <c r="L46"/>
      <c r="O46"/>
      <c r="P46"/>
    </row>
    <row r="47" spans="11:16" x14ac:dyDescent="0.25">
      <c r="K47"/>
      <c r="L47"/>
      <c r="O47"/>
      <c r="P47"/>
    </row>
    <row r="59" spans="9:14" x14ac:dyDescent="0.25">
      <c r="I59" s="3"/>
      <c r="J59" s="3"/>
      <c r="K59" s="3"/>
    </row>
    <row r="60" spans="9:14" x14ac:dyDescent="0.25">
      <c r="I60" s="3"/>
      <c r="J60" s="3"/>
      <c r="K60" s="3"/>
    </row>
    <row r="61" spans="9:14" x14ac:dyDescent="0.25">
      <c r="I61" s="3"/>
      <c r="J61" s="3"/>
      <c r="K61" s="3"/>
    </row>
    <row r="62" spans="9:14" x14ac:dyDescent="0.25">
      <c r="I62" s="3"/>
      <c r="J62" s="3"/>
      <c r="K62" s="3"/>
    </row>
    <row r="63" spans="9:14" x14ac:dyDescent="0.25">
      <c r="I63" s="3"/>
      <c r="J63" s="105" t="s">
        <v>50</v>
      </c>
      <c r="K63" s="109" t="s">
        <v>49</v>
      </c>
      <c r="L63" s="105"/>
      <c r="M63"/>
      <c r="N63" s="3"/>
    </row>
    <row r="64" spans="9:14" x14ac:dyDescent="0.25">
      <c r="J64" s="106" t="s">
        <v>51</v>
      </c>
      <c r="K64" s="106" t="s">
        <v>101</v>
      </c>
      <c r="L64" s="106" t="s">
        <v>52</v>
      </c>
      <c r="M64"/>
      <c r="N64" s="3"/>
    </row>
    <row r="65" spans="10:14" x14ac:dyDescent="0.25">
      <c r="J65" s="107" t="s">
        <v>100</v>
      </c>
      <c r="K65" s="108"/>
      <c r="L65" s="108"/>
      <c r="M65"/>
      <c r="N65" s="3"/>
    </row>
    <row r="66" spans="10:14" x14ac:dyDescent="0.25">
      <c r="J66" s="107" t="s">
        <v>52</v>
      </c>
      <c r="K66" s="108"/>
      <c r="L66" s="108"/>
      <c r="M66"/>
      <c r="N66" s="3"/>
    </row>
    <row r="67" spans="10:14" x14ac:dyDescent="0.25">
      <c r="J67"/>
      <c r="K67"/>
      <c r="L67"/>
      <c r="M67"/>
      <c r="N67" s="3"/>
    </row>
    <row r="68" spans="10:14" x14ac:dyDescent="0.25">
      <c r="J68"/>
      <c r="K68"/>
      <c r="L68"/>
      <c r="M68"/>
      <c r="N68" s="3"/>
    </row>
    <row r="69" spans="10:14" x14ac:dyDescent="0.25">
      <c r="J69"/>
      <c r="K69"/>
      <c r="L69"/>
      <c r="M69"/>
    </row>
    <row r="70" spans="10:14" x14ac:dyDescent="0.25">
      <c r="J70" s="3"/>
      <c r="K70" s="3"/>
      <c r="L70" s="3"/>
      <c r="M70" s="3"/>
    </row>
    <row r="71" spans="10:14" x14ac:dyDescent="0.25">
      <c r="J71" s="3"/>
      <c r="K71" s="3"/>
      <c r="L71" s="3"/>
      <c r="M71" s="3"/>
    </row>
    <row r="72" spans="10:14" x14ac:dyDescent="0.25">
      <c r="J72" s="3"/>
      <c r="K72" s="3"/>
      <c r="L72" s="3"/>
      <c r="M72" s="3"/>
    </row>
    <row r="73" spans="10:14" x14ac:dyDescent="0.25">
      <c r="J73" s="3"/>
      <c r="K73" s="3"/>
      <c r="L73" s="3"/>
      <c r="M73" s="3"/>
    </row>
    <row r="74" spans="10:14" x14ac:dyDescent="0.25">
      <c r="J74" s="3"/>
      <c r="K74" s="3"/>
      <c r="L74" s="3"/>
      <c r="M74" s="3"/>
    </row>
    <row r="75" spans="10:14" x14ac:dyDescent="0.25">
      <c r="J75" s="3"/>
      <c r="K75" s="3"/>
      <c r="L75" s="3"/>
      <c r="M75" s="3"/>
    </row>
    <row r="76" spans="10:14" x14ac:dyDescent="0.25">
      <c r="J76" s="3"/>
      <c r="K76" s="3"/>
      <c r="L76" s="3"/>
      <c r="M76" s="3"/>
    </row>
    <row r="77" spans="10:14" x14ac:dyDescent="0.25">
      <c r="J77" s="3"/>
      <c r="K77" s="3"/>
      <c r="L77" s="3"/>
      <c r="M77" s="3"/>
    </row>
    <row r="78" spans="10:14" x14ac:dyDescent="0.25">
      <c r="J78" s="3"/>
      <c r="K78" s="3"/>
      <c r="L78" s="3"/>
      <c r="M78" s="3"/>
    </row>
    <row r="79" spans="10:14" x14ac:dyDescent="0.25">
      <c r="J79" s="3"/>
      <c r="K79" s="3"/>
      <c r="L79" s="3"/>
      <c r="M79" s="3"/>
    </row>
    <row r="80" spans="10:14" x14ac:dyDescent="0.25">
      <c r="J80" s="3"/>
      <c r="K80" s="3"/>
      <c r="L80" s="3"/>
      <c r="M80" s="3"/>
    </row>
    <row r="81" spans="10:13" x14ac:dyDescent="0.25">
      <c r="J81" s="3"/>
      <c r="K81" s="3"/>
      <c r="L81" s="3"/>
      <c r="M81" s="3"/>
    </row>
    <row r="82" spans="10:13" x14ac:dyDescent="0.25">
      <c r="J82" s="3"/>
      <c r="K82" s="3"/>
      <c r="L82" s="3"/>
      <c r="M82" s="3"/>
    </row>
  </sheetData>
  <sheetProtection sort="0" pivotTables="0"/>
  <dataValidations count="3">
    <dataValidation type="list" allowBlank="1" showInputMessage="1" showErrorMessage="1" sqref="A3:A1048576" xr:uid="{C678E6FE-8B43-47FD-8EB9-0120398C5A24}">
      <formula1>"Ingreso,Gasto"</formula1>
    </dataValidation>
    <dataValidation type="list" allowBlank="1" showInputMessage="1" showErrorMessage="1" sqref="C3:C1048576" xr:uid="{1F2DE71C-6BC4-46E4-A6F2-6D60FC382944}">
      <formula1>IF(A3="Ingreso",Categoria_ingresos,Categoria_Gastos)</formula1>
    </dataValidation>
    <dataValidation type="list" allowBlank="1" showInputMessage="1" showErrorMessage="1" sqref="F3:F1048576" xr:uid="{BA3FB759-D184-4434-9F0F-48358E731C07}">
      <formula1>IF(A3="Ingreso",Est_Ing,Est_Gt)</formula1>
    </dataValidation>
  </dataValidations>
  <printOptions horizontalCentered="1" verticalCentered="1"/>
  <pageMargins left="0.1" right="0.1" top="0.1" bottom="0.1" header="0.3" footer="0.3"/>
  <pageSetup scale="61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Iniciar">
                <anchor>
                  <from>
                    <xdr:col>8</xdr:col>
                    <xdr:colOff>647700</xdr:colOff>
                    <xdr:row>1</xdr:row>
                    <xdr:rowOff>85725</xdr:rowOff>
                  </from>
                  <to>
                    <xdr:col>9</xdr:col>
                    <xdr:colOff>1123950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BorrarTabla1">
                <anchor>
                  <from>
                    <xdr:col>13</xdr:col>
                    <xdr:colOff>981075</xdr:colOff>
                    <xdr:row>1</xdr:row>
                    <xdr:rowOff>66675</xdr:rowOff>
                  </from>
                  <to>
                    <xdr:col>15</xdr:col>
                    <xdr:colOff>95250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CrearTablaYGraficoDinamicoConFiltro">
                <anchor>
                  <from>
                    <xdr:col>9</xdr:col>
                    <xdr:colOff>1285875</xdr:colOff>
                    <xdr:row>1</xdr:row>
                    <xdr:rowOff>76200</xdr:rowOff>
                  </from>
                  <to>
                    <xdr:col>11</xdr:col>
                    <xdr:colOff>95250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Hoja_Dash">
                <anchor>
                  <from>
                    <xdr:col>11</xdr:col>
                    <xdr:colOff>238125</xdr:colOff>
                    <xdr:row>1</xdr:row>
                    <xdr:rowOff>66675</xdr:rowOff>
                  </from>
                  <to>
                    <xdr:col>12</xdr:col>
                    <xdr:colOff>266700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Config">
                <anchor>
                  <from>
                    <xdr:col>11</xdr:col>
                    <xdr:colOff>238125</xdr:colOff>
                    <xdr:row>4</xdr:row>
                    <xdr:rowOff>171450</xdr:rowOff>
                  </from>
                  <to>
                    <xdr:col>12</xdr:col>
                    <xdr:colOff>238125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ExportarA_PDF_Ing">
                <anchor>
                  <from>
                    <xdr:col>12</xdr:col>
                    <xdr:colOff>438150</xdr:colOff>
                    <xdr:row>1</xdr:row>
                    <xdr:rowOff>66675</xdr:rowOff>
                  </from>
                  <to>
                    <xdr:col>13</xdr:col>
                    <xdr:colOff>847725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Ahorro">
                <anchor>
                  <from>
                    <xdr:col>9</xdr:col>
                    <xdr:colOff>1304925</xdr:colOff>
                    <xdr:row>5</xdr:row>
                    <xdr:rowOff>19050</xdr:rowOff>
                  </from>
                  <to>
                    <xdr:col>11</xdr:col>
                    <xdr:colOff>114300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Hoja_Presupuesto">
                <anchor>
                  <from>
                    <xdr:col>8</xdr:col>
                    <xdr:colOff>647700</xdr:colOff>
                    <xdr:row>5</xdr:row>
                    <xdr:rowOff>9525</xdr:rowOff>
                  </from>
                  <to>
                    <xdr:col>9</xdr:col>
                    <xdr:colOff>1123950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  <extLst>
    <ext xmlns:x14="http://schemas.microsoft.com/office/spreadsheetml/2009/9/main" uri="{A8765BA9-456A-4dab-B4F3-ACF838C121DE}">
      <x14:slicerList>
        <x14:slicer r:id="rId1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3FD59-4384-4F60-B4DD-D347883227E5}">
  <sheetPr codeName="Hoja4">
    <tabColor theme="0"/>
  </sheetPr>
  <dimension ref="B1:Q19"/>
  <sheetViews>
    <sheetView zoomScale="85" zoomScaleNormal="85" workbookViewId="0"/>
  </sheetViews>
  <sheetFormatPr baseColWidth="10" defaultColWidth="11.7109375" defaultRowHeight="15" x14ac:dyDescent="0.25"/>
  <cols>
    <col min="1" max="1" width="3.42578125" style="21" customWidth="1"/>
    <col min="2" max="2" width="20.28515625" style="21" customWidth="1"/>
    <col min="3" max="3" width="11.7109375" style="21"/>
    <col min="4" max="4" width="23.28515625" style="16" bestFit="1" customWidth="1"/>
    <col min="5" max="5" width="12.7109375" style="16" bestFit="1" customWidth="1"/>
    <col min="6" max="6" width="13.7109375" style="16" bestFit="1" customWidth="1"/>
    <col min="7" max="7" width="14.5703125" style="16" bestFit="1" customWidth="1"/>
    <col min="8" max="8" width="12.7109375" style="21" bestFit="1" customWidth="1"/>
    <col min="9" max="9" width="5.85546875" style="21" bestFit="1" customWidth="1"/>
    <col min="10" max="10" width="13" style="21" bestFit="1" customWidth="1"/>
    <col min="11" max="11" width="12.7109375" style="21" bestFit="1" customWidth="1"/>
    <col min="12" max="12" width="5.5703125" style="21" bestFit="1" customWidth="1"/>
    <col min="13" max="13" width="13" style="21" bestFit="1" customWidth="1"/>
    <col min="14" max="14" width="12.7109375" style="21" bestFit="1" customWidth="1"/>
    <col min="15" max="15" width="5.5703125" style="21" bestFit="1" customWidth="1"/>
    <col min="16" max="16" width="11.7109375" style="21"/>
    <col min="17" max="17" width="18.140625" style="21" bestFit="1" customWidth="1"/>
    <col min="18" max="16384" width="11.7109375" style="21"/>
  </cols>
  <sheetData>
    <row r="1" spans="2:17" x14ac:dyDescent="0.25">
      <c r="D1" s="21"/>
      <c r="E1" s="21"/>
      <c r="F1" s="21"/>
      <c r="G1" s="21"/>
    </row>
    <row r="2" spans="2:17" x14ac:dyDescent="0.25">
      <c r="D2" s="21"/>
      <c r="E2" s="21"/>
      <c r="F2" s="21"/>
      <c r="G2" s="21"/>
    </row>
    <row r="3" spans="2:17" x14ac:dyDescent="0.25">
      <c r="D3" s="21"/>
      <c r="E3" s="21"/>
      <c r="F3" s="21"/>
      <c r="G3" s="21"/>
    </row>
    <row r="4" spans="2:17" x14ac:dyDescent="0.25">
      <c r="D4" s="21"/>
      <c r="E4" s="21"/>
      <c r="F4" s="21"/>
      <c r="G4" s="21"/>
    </row>
    <row r="5" spans="2:17" ht="18.75" x14ac:dyDescent="0.25">
      <c r="D5" s="95" t="s">
        <v>75</v>
      </c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Q5" s="69" t="s">
        <v>85</v>
      </c>
    </row>
    <row r="6" spans="2:17" x14ac:dyDescent="0.25">
      <c r="D6" s="8" t="s">
        <v>31</v>
      </c>
      <c r="E6" s="8" t="s">
        <v>32</v>
      </c>
      <c r="F6" s="8" t="s">
        <v>33</v>
      </c>
      <c r="G6" s="8" t="s">
        <v>34</v>
      </c>
      <c r="H6" s="8" t="s">
        <v>35</v>
      </c>
      <c r="I6" s="8" t="s">
        <v>36</v>
      </c>
      <c r="J6" s="8" t="s">
        <v>37</v>
      </c>
      <c r="K6" s="8" t="s">
        <v>38</v>
      </c>
      <c r="L6" s="8" t="s">
        <v>39</v>
      </c>
      <c r="M6" s="8" t="s">
        <v>40</v>
      </c>
      <c r="N6" s="8" t="s">
        <v>41</v>
      </c>
      <c r="O6" s="8" t="s">
        <v>42</v>
      </c>
      <c r="Q6" s="70">
        <f ca="1">SUM(D7:O7)</f>
        <v>0</v>
      </c>
    </row>
    <row r="7" spans="2:17" x14ac:dyDescent="0.25">
      <c r="D7" s="27">
        <f ca="1">+SUMIFS(Tabla1[Monto],Tabla1[MES],1,Tabla1[Categoria],"AHORRO",Tabla1[AÑO],$E$8)*-1</f>
        <v>0</v>
      </c>
      <c r="E7" s="27">
        <f ca="1">+SUMIFS(Tabla1[Monto],Tabla1[MES],2,Tabla1[Categoria],"AHORRO",Tabla1[AÑO],$E$8)*-1</f>
        <v>0</v>
      </c>
      <c r="F7" s="27">
        <f ca="1">+SUMIFS(Tabla1[Monto],Tabla1[MES],3,Tabla1[Categoria],"AHORRO",Tabla1[AÑO],$E$8)*-1</f>
        <v>0</v>
      </c>
      <c r="G7" s="27">
        <f ca="1">+SUMIFS(Tabla1[Monto],Tabla1[MES],4,Tabla1[Categoria],"AHORRO",Tabla1[AÑO],$E$8)*-1</f>
        <v>0</v>
      </c>
      <c r="H7" s="27">
        <f ca="1">+SUMIFS(Tabla1[Monto],Tabla1[MES],5,Tabla1[Categoria],"AHORRO",Tabla1[AÑO],$E$8)*-1</f>
        <v>0</v>
      </c>
      <c r="I7" s="27">
        <f ca="1">+SUMIFS(Tabla1[Monto],Tabla1[MES],6,Tabla1[Categoria],"AHORRO",Tabla1[AÑO],$E$8)*-1</f>
        <v>0</v>
      </c>
      <c r="J7" s="27">
        <f ca="1">+SUMIFS(Tabla1[Monto],Tabla1[MES],7,Tabla1[Categoria],"AHORRO",Tabla1[AÑO],$E$8)*-1</f>
        <v>0</v>
      </c>
      <c r="K7" s="27">
        <f ca="1">+SUMIFS(Tabla1[Monto],Tabla1[MES],8,Tabla1[Categoria],"AHORRO",Tabla1[AÑO],$E$8)*-1</f>
        <v>0</v>
      </c>
      <c r="L7" s="27">
        <f ca="1">+SUMIFS(Tabla1[Monto],Tabla1[MES],9,Tabla1[Categoria],"AHORRO",Tabla1[AÑO],$E$8)*-1</f>
        <v>0</v>
      </c>
      <c r="M7" s="27">
        <f ca="1">+SUMIFS(Tabla1[Monto],Tabla1[MES],10,Tabla1[Categoria],"AHORRO",Tabla1[AÑO],$E$8)*-1</f>
        <v>0</v>
      </c>
      <c r="N7" s="27">
        <f ca="1">+SUMIFS(Tabla1[Monto],Tabla1[MES],11,Tabla1[Categoria],"AHORRO",Tabla1[AÑO],$E$8)*-1</f>
        <v>0</v>
      </c>
      <c r="O7" s="27">
        <f ca="1">+SUMIFS(Tabla1[Monto],Tabla1[MES],12,Tabla1[Categoria],"AHORRO",Tabla1[AÑO],$E$8)*-1</f>
        <v>0</v>
      </c>
      <c r="Q7" s="17"/>
    </row>
    <row r="8" spans="2:17" x14ac:dyDescent="0.25">
      <c r="D8" s="1">
        <f ca="1">+MONTH(TODAY())</f>
        <v>9</v>
      </c>
      <c r="E8" s="1">
        <f ca="1">+YEAR(TODAY())</f>
        <v>2024</v>
      </c>
      <c r="F8" s="21"/>
      <c r="G8" s="21"/>
      <c r="Q8" s="69" t="s">
        <v>84</v>
      </c>
    </row>
    <row r="9" spans="2:17" x14ac:dyDescent="0.25">
      <c r="D9" s="97"/>
      <c r="E9" s="97"/>
      <c r="F9" s="97"/>
      <c r="G9" s="21"/>
      <c r="Q9" s="71">
        <f>+SUM(Tabla4[Monto])</f>
        <v>0</v>
      </c>
    </row>
    <row r="10" spans="2:17" x14ac:dyDescent="0.25">
      <c r="D10" s="21"/>
      <c r="E10" s="21"/>
      <c r="F10" s="21"/>
      <c r="G10" s="21"/>
    </row>
    <row r="11" spans="2:17" x14ac:dyDescent="0.25">
      <c r="D11" s="68" t="s">
        <v>77</v>
      </c>
      <c r="E11" s="72">
        <f>+E13/E12</f>
        <v>0</v>
      </c>
      <c r="F11" s="21"/>
      <c r="G11" s="67" t="s">
        <v>81</v>
      </c>
      <c r="H11" s="72">
        <f>+H13/H12</f>
        <v>0</v>
      </c>
      <c r="J11" s="67" t="s">
        <v>82</v>
      </c>
      <c r="K11" s="72">
        <f>+K13/K12</f>
        <v>0</v>
      </c>
      <c r="M11" s="67" t="s">
        <v>83</v>
      </c>
      <c r="N11" s="72">
        <f>+N13/N12</f>
        <v>0</v>
      </c>
      <c r="Q11" s="69" t="s">
        <v>87</v>
      </c>
    </row>
    <row r="12" spans="2:17" x14ac:dyDescent="0.25">
      <c r="B12" s="16"/>
      <c r="C12" s="16"/>
      <c r="D12" s="22" t="s">
        <v>80</v>
      </c>
      <c r="E12" s="27">
        <v>1400000</v>
      </c>
      <c r="F12" s="21"/>
      <c r="G12" s="22" t="s">
        <v>80</v>
      </c>
      <c r="H12" s="27">
        <v>10000000</v>
      </c>
      <c r="J12" s="22" t="s">
        <v>80</v>
      </c>
      <c r="K12" s="27">
        <v>2000000</v>
      </c>
      <c r="M12" s="22" t="s">
        <v>80</v>
      </c>
      <c r="N12" s="27">
        <v>5000000</v>
      </c>
      <c r="Q12" s="71">
        <f ca="1">+Q6-Q9</f>
        <v>0</v>
      </c>
    </row>
    <row r="13" spans="2:17" x14ac:dyDescent="0.25">
      <c r="B13" s="16"/>
      <c r="C13" s="16"/>
      <c r="D13" s="26" t="s">
        <v>78</v>
      </c>
      <c r="E13" s="80">
        <v>0</v>
      </c>
      <c r="F13" s="66"/>
      <c r="G13" s="26" t="s">
        <v>78</v>
      </c>
      <c r="H13" s="80">
        <v>0</v>
      </c>
      <c r="J13" s="26" t="s">
        <v>78</v>
      </c>
      <c r="K13" s="80">
        <v>0</v>
      </c>
      <c r="M13" s="26" t="s">
        <v>78</v>
      </c>
      <c r="N13" s="80">
        <v>0</v>
      </c>
    </row>
    <row r="14" spans="2:17" x14ac:dyDescent="0.25">
      <c r="D14" s="22" t="s">
        <v>89</v>
      </c>
      <c r="E14" s="36">
        <f>+E12-E13</f>
        <v>1400000</v>
      </c>
      <c r="F14" s="21"/>
      <c r="G14" s="22" t="s">
        <v>89</v>
      </c>
      <c r="H14" s="36">
        <f>+H12-H13</f>
        <v>10000000</v>
      </c>
      <c r="J14" s="22" t="s">
        <v>89</v>
      </c>
      <c r="K14" s="36">
        <f>+K12-K13</f>
        <v>2000000</v>
      </c>
      <c r="M14" s="22" t="s">
        <v>89</v>
      </c>
      <c r="N14" s="36">
        <f>+N12-N13</f>
        <v>5000000</v>
      </c>
    </row>
    <row r="15" spans="2:17" x14ac:dyDescent="0.25">
      <c r="D15" s="26" t="s">
        <v>79</v>
      </c>
      <c r="E15" s="22" t="str">
        <f>+IF(E13&lt;E12,"INCOMPLETO","COMPLETO")</f>
        <v>INCOMPLETO</v>
      </c>
      <c r="F15" s="66"/>
      <c r="G15" s="26" t="s">
        <v>79</v>
      </c>
      <c r="H15" s="22" t="str">
        <f>+IF(H13&lt;H12,"INCOMPLETO","COMPLETO")</f>
        <v>INCOMPLETO</v>
      </c>
      <c r="J15" s="26" t="s">
        <v>79</v>
      </c>
      <c r="K15" s="22" t="str">
        <f>+IF(K13&lt;K12,"INCOMPLETO","COMPLETO")</f>
        <v>INCOMPLETO</v>
      </c>
      <c r="M15" s="26" t="s">
        <v>79</v>
      </c>
      <c r="N15" s="22" t="str">
        <f>+IF(N13&lt;N12,"INCOMPLETO","COMPLETO")</f>
        <v>INCOMPLETO</v>
      </c>
    </row>
    <row r="16" spans="2:17" x14ac:dyDescent="0.25">
      <c r="D16" s="65"/>
      <c r="E16" s="21"/>
      <c r="F16" s="66"/>
      <c r="G16" s="21"/>
    </row>
    <row r="17" spans="4:7" x14ac:dyDescent="0.25">
      <c r="D17" s="65"/>
      <c r="E17" s="21"/>
      <c r="F17" s="66"/>
      <c r="G17" s="21"/>
    </row>
    <row r="18" spans="4:7" x14ac:dyDescent="0.25">
      <c r="D18" s="73" t="s">
        <v>86</v>
      </c>
      <c r="E18" s="74" t="s">
        <v>3</v>
      </c>
      <c r="F18" s="75" t="s">
        <v>98</v>
      </c>
      <c r="G18" s="75" t="s">
        <v>88</v>
      </c>
    </row>
    <row r="19" spans="4:7" x14ac:dyDescent="0.25">
      <c r="D19" s="76"/>
      <c r="E19" s="77"/>
      <c r="F19" s="78"/>
      <c r="G19" s="79"/>
    </row>
  </sheetData>
  <mergeCells count="2">
    <mergeCell ref="D5:O5"/>
    <mergeCell ref="D9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Config">
                <anchor>
                  <from>
                    <xdr:col>10</xdr:col>
                    <xdr:colOff>581025</xdr:colOff>
                    <xdr:row>0</xdr:row>
                    <xdr:rowOff>190500</xdr:rowOff>
                  </from>
                  <to>
                    <xdr:col>13</xdr:col>
                    <xdr:colOff>28575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autoFill="0" autoPict="0" macro="[0]!ExportarA_PDF">
                <anchor>
                  <from>
                    <xdr:col>8</xdr:col>
                    <xdr:colOff>133350</xdr:colOff>
                    <xdr:row>0</xdr:row>
                    <xdr:rowOff>180975</xdr:rowOff>
                  </from>
                  <to>
                    <xdr:col>10</xdr:col>
                    <xdr:colOff>400050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autoFill="0" autoPict="0" macro="[0]!Hoja_IngGas">
                <anchor>
                  <from>
                    <xdr:col>6</xdr:col>
                    <xdr:colOff>238125</xdr:colOff>
                    <xdr:row>0</xdr:row>
                    <xdr:rowOff>171450</xdr:rowOff>
                  </from>
                  <to>
                    <xdr:col>7</xdr:col>
                    <xdr:colOff>790575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autoFill="0" autoPict="0" macro="[0]!Hoja_Presupuesto">
                <anchor>
                  <from>
                    <xdr:col>4</xdr:col>
                    <xdr:colOff>304800</xdr:colOff>
                    <xdr:row>0</xdr:row>
                    <xdr:rowOff>180975</xdr:rowOff>
                  </from>
                  <to>
                    <xdr:col>6</xdr:col>
                    <xdr:colOff>57150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Button 7">
              <controlPr defaultSize="0" autoFill="0" autoPict="0" macro="[0]!AsignarAhorro">
                <anchor>
                  <from>
                    <xdr:col>3</xdr:col>
                    <xdr:colOff>95250</xdr:colOff>
                    <xdr:row>1</xdr:row>
                    <xdr:rowOff>9525</xdr:rowOff>
                  </from>
                  <to>
                    <xdr:col>4</xdr:col>
                    <xdr:colOff>66675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8" name="Button 8">
              <controlPr defaultSize="0" autoFill="0" autoPict="0" macro="[0]!Hoja_Dash">
                <anchor>
                  <from>
                    <xdr:col>13</xdr:col>
                    <xdr:colOff>142875</xdr:colOff>
                    <xdr:row>0</xdr:row>
                    <xdr:rowOff>171450</xdr:rowOff>
                  </from>
                  <to>
                    <xdr:col>15</xdr:col>
                    <xdr:colOff>457200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119C5-29C1-45B9-9BBF-B51D6D0F896F}">
  <sheetPr codeName="Hoja7"/>
  <dimension ref="F3:L17"/>
  <sheetViews>
    <sheetView workbookViewId="0">
      <selection activeCell="H25" sqref="H25"/>
    </sheetView>
  </sheetViews>
  <sheetFormatPr baseColWidth="10" defaultColWidth="11.5703125" defaultRowHeight="15" x14ac:dyDescent="0.25"/>
  <cols>
    <col min="1" max="1" width="8.42578125" style="17" customWidth="1"/>
    <col min="2" max="2" width="15.7109375" style="17" bestFit="1" customWidth="1"/>
    <col min="3" max="3" width="14.28515625" style="17" bestFit="1" customWidth="1"/>
    <col min="4" max="5" width="11.5703125" style="17"/>
    <col min="6" max="6" width="6.28515625" style="17" bestFit="1" customWidth="1"/>
    <col min="7" max="7" width="32.5703125" style="17" customWidth="1"/>
    <col min="8" max="8" width="28.140625" style="17" bestFit="1" customWidth="1"/>
    <col min="9" max="9" width="6" style="17" customWidth="1"/>
    <col min="10" max="10" width="20" style="17" bestFit="1" customWidth="1"/>
    <col min="11" max="11" width="8.140625" style="17" customWidth="1"/>
    <col min="12" max="12" width="27.140625" style="17" bestFit="1" customWidth="1"/>
    <col min="13" max="16384" width="11.5703125" style="17"/>
  </cols>
  <sheetData>
    <row r="3" spans="6:12" ht="18.75" x14ac:dyDescent="0.3">
      <c r="F3" s="1" t="e">
        <f>+IF(#REF!="","A","D")</f>
        <v>#REF!</v>
      </c>
      <c r="H3" s="20" t="s">
        <v>53</v>
      </c>
      <c r="J3" s="19" t="s">
        <v>65</v>
      </c>
      <c r="L3" s="19" t="s">
        <v>64</v>
      </c>
    </row>
    <row r="4" spans="6:12" x14ac:dyDescent="0.25">
      <c r="H4" s="18"/>
      <c r="J4" s="18" t="s">
        <v>16</v>
      </c>
      <c r="L4" s="18" t="s">
        <v>7</v>
      </c>
    </row>
    <row r="5" spans="6:12" x14ac:dyDescent="0.25">
      <c r="J5" s="18" t="s">
        <v>17</v>
      </c>
      <c r="L5" s="18" t="s">
        <v>8</v>
      </c>
    </row>
    <row r="6" spans="6:12" x14ac:dyDescent="0.25">
      <c r="J6" s="18" t="s">
        <v>18</v>
      </c>
    </row>
    <row r="7" spans="6:12" ht="18.75" x14ac:dyDescent="0.3">
      <c r="H7" s="19" t="s">
        <v>63</v>
      </c>
      <c r="J7" s="18" t="s">
        <v>19</v>
      </c>
      <c r="L7" s="19" t="s">
        <v>90</v>
      </c>
    </row>
    <row r="8" spans="6:12" x14ac:dyDescent="0.25">
      <c r="H8" s="18" t="s">
        <v>5</v>
      </c>
      <c r="J8" s="18" t="s">
        <v>21</v>
      </c>
      <c r="L8" s="18" t="s">
        <v>76</v>
      </c>
    </row>
    <row r="9" spans="6:12" x14ac:dyDescent="0.25">
      <c r="H9" s="18" t="s">
        <v>9</v>
      </c>
      <c r="J9" s="18" t="s">
        <v>22</v>
      </c>
      <c r="L9" s="18" t="s">
        <v>91</v>
      </c>
    </row>
    <row r="10" spans="6:12" x14ac:dyDescent="0.25">
      <c r="H10" s="18" t="s">
        <v>10</v>
      </c>
      <c r="J10" s="18" t="s">
        <v>20</v>
      </c>
      <c r="L10" s="18" t="s">
        <v>92</v>
      </c>
    </row>
    <row r="11" spans="6:12" x14ac:dyDescent="0.25">
      <c r="H11" s="18" t="s">
        <v>26</v>
      </c>
      <c r="J11" s="18" t="s">
        <v>54</v>
      </c>
      <c r="L11" s="18" t="s">
        <v>93</v>
      </c>
    </row>
    <row r="12" spans="6:12" x14ac:dyDescent="0.25">
      <c r="H12" s="18" t="s">
        <v>20</v>
      </c>
      <c r="J12" s="18" t="s">
        <v>12</v>
      </c>
    </row>
    <row r="13" spans="6:12" ht="18.75" x14ac:dyDescent="0.3">
      <c r="H13" s="18" t="s">
        <v>11</v>
      </c>
      <c r="J13" s="18" t="s">
        <v>13</v>
      </c>
      <c r="L13" s="19" t="s">
        <v>94</v>
      </c>
    </row>
    <row r="14" spans="6:12" x14ac:dyDescent="0.25">
      <c r="H14" s="18" t="s">
        <v>12</v>
      </c>
      <c r="J14" s="18" t="s">
        <v>14</v>
      </c>
      <c r="L14" s="18" t="s">
        <v>95</v>
      </c>
    </row>
    <row r="15" spans="6:12" x14ac:dyDescent="0.25">
      <c r="H15" s="18" t="s">
        <v>13</v>
      </c>
      <c r="J15" s="18" t="s">
        <v>15</v>
      </c>
      <c r="L15" s="18" t="s">
        <v>96</v>
      </c>
    </row>
    <row r="16" spans="6:12" x14ac:dyDescent="0.25">
      <c r="H16" s="18" t="s">
        <v>14</v>
      </c>
      <c r="L16" s="18" t="s">
        <v>97</v>
      </c>
    </row>
    <row r="17" spans="8:12" x14ac:dyDescent="0.25">
      <c r="H17" s="18" t="s">
        <v>15</v>
      </c>
      <c r="L17" s="18" t="s">
        <v>11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Hoja_IngGas">
                <anchor>
                  <from>
                    <xdr:col>4</xdr:col>
                    <xdr:colOff>161925</xdr:colOff>
                    <xdr:row>1</xdr:row>
                    <xdr:rowOff>171450</xdr:rowOff>
                  </from>
                  <to>
                    <xdr:col>6</xdr:col>
                    <xdr:colOff>247650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Hoja_Presupuesto">
                <anchor>
                  <from>
                    <xdr:col>4</xdr:col>
                    <xdr:colOff>161925</xdr:colOff>
                    <xdr:row>4</xdr:row>
                    <xdr:rowOff>123825</xdr:rowOff>
                  </from>
                  <to>
                    <xdr:col>6</xdr:col>
                    <xdr:colOff>247650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Hoja_Presupuesto">
                <anchor>
                  <from>
                    <xdr:col>6</xdr:col>
                    <xdr:colOff>485775</xdr:colOff>
                    <xdr:row>1</xdr:row>
                    <xdr:rowOff>171450</xdr:rowOff>
                  </from>
                  <to>
                    <xdr:col>6</xdr:col>
                    <xdr:colOff>1800225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Button 6">
              <controlPr defaultSize="0" print="0" autoFill="0" autoPict="0" macro="[0]!Hoja_Presupuesto">
                <anchor>
                  <from>
                    <xdr:col>6</xdr:col>
                    <xdr:colOff>495300</xdr:colOff>
                    <xdr:row>4</xdr:row>
                    <xdr:rowOff>142875</xdr:rowOff>
                  </from>
                  <to>
                    <xdr:col>6</xdr:col>
                    <xdr:colOff>1809750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7" name="Button 7">
              <controlPr defaultSize="0" print="0" autoFill="0" autoPict="0" macro="[0]!Ahorro">
                <anchor>
                  <from>
                    <xdr:col>4</xdr:col>
                    <xdr:colOff>161925</xdr:colOff>
                    <xdr:row>7</xdr:row>
                    <xdr:rowOff>104775</xdr:rowOff>
                  </from>
                  <to>
                    <xdr:col>6</xdr:col>
                    <xdr:colOff>247650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9</vt:i4>
      </vt:variant>
    </vt:vector>
  </HeadingPairs>
  <TitlesOfParts>
    <vt:vector size="14" baseType="lpstr">
      <vt:lpstr>DashBoard_General</vt:lpstr>
      <vt:lpstr>Presupuesto</vt:lpstr>
      <vt:lpstr>Ingresos_Gastos</vt:lpstr>
      <vt:lpstr>Ahorro</vt:lpstr>
      <vt:lpstr>Configuracion</vt:lpstr>
      <vt:lpstr>DashBoard_General!Área_de_impresión</vt:lpstr>
      <vt:lpstr>Ingresos_Gastos!Área_de_impresión</vt:lpstr>
      <vt:lpstr>Presupuesto!Área_de_impresión</vt:lpstr>
      <vt:lpstr>Categoria_Gastos</vt:lpstr>
      <vt:lpstr>Categoria_ingresos</vt:lpstr>
      <vt:lpstr>Categoriasingresos</vt:lpstr>
      <vt:lpstr>PROYECTOS</vt:lpstr>
      <vt:lpstr>Tipos</vt:lpstr>
      <vt:lpstr>UBICACIONES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Pulido</dc:creator>
  <cp:lastModifiedBy>Leonardo Vivas</cp:lastModifiedBy>
  <cp:lastPrinted>2024-09-11T17:14:23Z</cp:lastPrinted>
  <dcterms:created xsi:type="dcterms:W3CDTF">2024-08-15T06:29:06Z</dcterms:created>
  <dcterms:modified xsi:type="dcterms:W3CDTF">2024-09-11T17:16:04Z</dcterms:modified>
</cp:coreProperties>
</file>