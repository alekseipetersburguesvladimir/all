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AD11F2A9-CD28-4F47-9191-4700FF1B3F20}" xr6:coauthVersionLast="47" xr6:coauthVersionMax="47" xr10:uidLastSave="{00000000-0000-0000-0000-000000000000}"/>
  <bookViews>
    <workbookView xWindow="-120" yWindow="-120" windowWidth="20730" windowHeight="11160" xr2:uid="{7DACF5BC-A366-49D1-9B39-4A7066EB61C6}"/>
  </bookViews>
  <sheets>
    <sheet name="Personal" sheetId="1" r:id="rId1"/>
    <sheet name="Registro_Pagos" sheetId="4" r:id="rId2"/>
    <sheet name="Vacaciones" sheetId="7" r:id="rId3"/>
    <sheet name="Documentos" sheetId="5" r:id="rId4"/>
    <sheet name="Desprendibles" sheetId="6" r:id="rId5"/>
    <sheet name="Parcial" sheetId="9" r:id="rId6"/>
    <sheet name="Reportes" sheetId="8" r:id="rId7"/>
  </sheets>
  <definedNames>
    <definedName name="solver_adj" localSheetId="0" hidden="1">Personal!#REF!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Personal!#REF!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1300000</definedName>
    <definedName name="solver_ver" localSheetId="0" hidden="1">3</definedName>
    <definedName name="TIPOS">Registro_Pagos!#REF!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4" l="1"/>
  <c r="N13" i="4"/>
  <c r="L12" i="4"/>
  <c r="N12" i="4"/>
  <c r="F13" i="9"/>
  <c r="E13" i="9"/>
  <c r="N9" i="4"/>
  <c r="N10" i="4"/>
  <c r="N11" i="4"/>
  <c r="L11" i="4"/>
  <c r="L10" i="4"/>
  <c r="D13" i="9"/>
  <c r="F6" i="8"/>
  <c r="H6" i="8" s="1"/>
  <c r="L9" i="4"/>
  <c r="H37" i="1"/>
  <c r="H38" i="1"/>
  <c r="H39" i="1"/>
  <c r="H40" i="1"/>
  <c r="H41" i="1"/>
  <c r="G28" i="1"/>
  <c r="G29" i="1"/>
  <c r="G30" i="1"/>
  <c r="G31" i="1"/>
  <c r="E9" i="4"/>
  <c r="F9" i="4" s="1"/>
  <c r="E23" i="1"/>
  <c r="G37" i="1" s="1"/>
  <c r="I37" i="1" l="1"/>
  <c r="I30" i="1"/>
  <c r="I29" i="1"/>
  <c r="I28" i="1"/>
  <c r="I31" i="1"/>
  <c r="J9" i="4"/>
  <c r="G27" i="1" s="1"/>
  <c r="G9" i="4"/>
  <c r="E22" i="1"/>
  <c r="G41" i="1"/>
  <c r="I41" i="1" s="1"/>
  <c r="G40" i="1"/>
  <c r="I40" i="1" s="1"/>
  <c r="G39" i="1"/>
  <c r="I39" i="1" s="1"/>
  <c r="G38" i="1"/>
  <c r="I38" i="1" s="1"/>
  <c r="I27" i="1" l="1"/>
  <c r="K16" i="1"/>
  <c r="K17" i="1"/>
  <c r="K18" i="1"/>
  <c r="K19" i="1"/>
  <c r="K15" i="1" l="1"/>
  <c r="M17" i="1"/>
  <c r="M18" i="1"/>
  <c r="M19" i="1"/>
  <c r="E2" i="1"/>
  <c r="F29" i="1" l="1"/>
  <c r="H29" i="1"/>
  <c r="F31" i="1"/>
  <c r="H31" i="1"/>
  <c r="F30" i="1"/>
  <c r="H30" i="1"/>
  <c r="L16" i="1"/>
  <c r="M16" i="1"/>
  <c r="L15" i="1"/>
  <c r="M15" i="1"/>
  <c r="L17" i="1"/>
  <c r="L19" i="1"/>
  <c r="L18" i="1"/>
  <c r="E3" i="1"/>
  <c r="F27" i="1" l="1"/>
  <c r="H27" i="1"/>
  <c r="F28" i="1"/>
  <c r="H28" i="1"/>
  <c r="E4" i="1"/>
  <c r="E5" i="1"/>
</calcChain>
</file>

<file path=xl/sharedStrings.xml><?xml version="1.0" encoding="utf-8"?>
<sst xmlns="http://schemas.openxmlformats.org/spreadsheetml/2006/main" count="171" uniqueCount="109">
  <si>
    <t>NOMBRE</t>
  </si>
  <si>
    <t>CEDULA</t>
  </si>
  <si>
    <t>ID</t>
  </si>
  <si>
    <t>Gonzales Quiceno Candy Geraldine</t>
  </si>
  <si>
    <t>Ibague Solano Agueda Milena</t>
  </si>
  <si>
    <t>Paez Buitrago Maria Alejandra</t>
  </si>
  <si>
    <t>Riveros Otavo Shaira Yulexis</t>
  </si>
  <si>
    <t>Sanchez Pabon Laura Camila</t>
  </si>
  <si>
    <t>BASE DE COLABORADORES</t>
  </si>
  <si>
    <t>AFP EMPLEADO</t>
  </si>
  <si>
    <t>AFP EMPLEADOR</t>
  </si>
  <si>
    <t>INCORPORACION</t>
  </si>
  <si>
    <t>SALARIO PN</t>
  </si>
  <si>
    <t>SALARIO NP</t>
  </si>
  <si>
    <t>NOMINA BRUTA</t>
  </si>
  <si>
    <t>SALARIO NETO</t>
  </si>
  <si>
    <t xml:space="preserve">Valor Salario Prestacional + Salario no prestacional </t>
  </si>
  <si>
    <t>Valor de Deducciones al salario Bruto del empleado</t>
  </si>
  <si>
    <t>Valor a pagar por AFP Empleador</t>
  </si>
  <si>
    <t xml:space="preserve">Valor real Nomina Vigente </t>
  </si>
  <si>
    <t>SALARIO X PAGAR</t>
  </si>
  <si>
    <t>SALARIO REAL</t>
  </si>
  <si>
    <t>VACACIONES</t>
  </si>
  <si>
    <t>ACUMULADOS</t>
  </si>
  <si>
    <t>GASTADOS</t>
  </si>
  <si>
    <t>DISPONIBLES</t>
  </si>
  <si>
    <t>MES</t>
  </si>
  <si>
    <t>AÑO</t>
  </si>
  <si>
    <t>BASE DE PAGOS</t>
  </si>
  <si>
    <t>NOMBRE EMPLEADO</t>
  </si>
  <si>
    <t>FECHA</t>
  </si>
  <si>
    <t>VALOR</t>
  </si>
  <si>
    <t>CONTROL DE SALARIO MES VIGENTE</t>
  </si>
  <si>
    <t>PRIMERA QUINCENA</t>
  </si>
  <si>
    <t>SEGUNDA QUINCENA</t>
  </si>
  <si>
    <t>EJECUTADO</t>
  </si>
  <si>
    <t>EJECUTADO2</t>
  </si>
  <si>
    <t>CICLO</t>
  </si>
  <si>
    <t>DIA</t>
  </si>
  <si>
    <t>CONCEPTO</t>
  </si>
  <si>
    <t>SIMULADOR</t>
  </si>
  <si>
    <t>REGISTRO DE VACACIONES</t>
  </si>
  <si>
    <t>EMPLEADO</t>
  </si>
  <si>
    <t>FECHA INICIAL</t>
  </si>
  <si>
    <t>FECHA FINAL</t>
  </si>
  <si>
    <t>DIAS SOLICITADOS</t>
  </si>
  <si>
    <t>FECHA SOLICITUD</t>
  </si>
  <si>
    <t>RUTA</t>
  </si>
  <si>
    <t>NOMBRE DOCUMENTO</t>
  </si>
  <si>
    <t>CATEGORIA</t>
  </si>
  <si>
    <t>FECHA REGISTRO</t>
  </si>
  <si>
    <t>REPOSITORIO DE DOCUMENTOS</t>
  </si>
  <si>
    <t>PENSION</t>
  </si>
  <si>
    <t>SALUD</t>
  </si>
  <si>
    <t>BANCO</t>
  </si>
  <si>
    <t>CUENTA</t>
  </si>
  <si>
    <t>AFP</t>
  </si>
  <si>
    <t>Valor Anulado</t>
  </si>
  <si>
    <t xml:space="preserve">SALUD: </t>
  </si>
  <si>
    <t xml:space="preserve">PENSION: </t>
  </si>
  <si>
    <t xml:space="preserve">CAJA CP: </t>
  </si>
  <si>
    <t>Salario</t>
  </si>
  <si>
    <t>Bono</t>
  </si>
  <si>
    <t>ARL</t>
  </si>
  <si>
    <t>CP</t>
  </si>
  <si>
    <t>NOMBRE: Sanchez Pabon Laura Camila</t>
  </si>
  <si>
    <t>CEDULA: 1000951615</t>
  </si>
  <si>
    <t>ENCOUNTERS VIP S.A.S</t>
  </si>
  <si>
    <t>NIT: 901.652.143-0</t>
  </si>
  <si>
    <t>COMPROBANTE DE PAGO</t>
  </si>
  <si>
    <t>SUBTOTAL</t>
  </si>
  <si>
    <t>DESPRENDIBLE  DE NOMINA</t>
  </si>
  <si>
    <t>DEVENGOS</t>
  </si>
  <si>
    <t>CANTIDAD</t>
  </si>
  <si>
    <t>DEDUCCIONES</t>
  </si>
  <si>
    <t>FMT-001</t>
  </si>
  <si>
    <t>FMT-002</t>
  </si>
  <si>
    <t>PAGO PARCIAL DE SALARIO</t>
  </si>
  <si>
    <t>AUTORIZADO</t>
  </si>
  <si>
    <t>FECHA PAGO</t>
  </si>
  <si>
    <t>CC</t>
  </si>
  <si>
    <t>REPORTE INDIVIDUAL</t>
  </si>
  <si>
    <t>MES ACTUAL</t>
  </si>
  <si>
    <t>PAGADO</t>
  </si>
  <si>
    <t>2CTA</t>
  </si>
  <si>
    <t>C_COMP</t>
  </si>
  <si>
    <t>BANCOLOMBIA</t>
  </si>
  <si>
    <t>COMPENSAR</t>
  </si>
  <si>
    <t>PORVENIR</t>
  </si>
  <si>
    <t>CAFAM</t>
  </si>
  <si>
    <t>FECHA NOMINA: 09-10-2024</t>
  </si>
  <si>
    <t>BASICO: 1.300.000</t>
  </si>
  <si>
    <t>DETALLES DE OPERACIÓN</t>
  </si>
  <si>
    <t>PRUEBA</t>
  </si>
  <si>
    <t>9/10/2024 1:37:13 a. m.</t>
  </si>
  <si>
    <t>09/10/2024</t>
  </si>
  <si>
    <t>12/10/2024</t>
  </si>
  <si>
    <t>C:\Users\lenovo\Downloads\DESPRENDIBLES NOMINA 09-10-2024\Gonzales Quiceno Candy Geraldine 09-10-2024 Desprendible.pdf</t>
  </si>
  <si>
    <t>Gonzales Quiceno Candy Geraldine 09-10-2024 Desprendible.pdf</t>
  </si>
  <si>
    <t>Desprendibles</t>
  </si>
  <si>
    <t>cCUENTA</t>
  </si>
  <si>
    <t>nCUENTA</t>
  </si>
  <si>
    <t>x</t>
  </si>
  <si>
    <t>a</t>
  </si>
  <si>
    <t>X</t>
  </si>
  <si>
    <t>X Pago Parcial</t>
  </si>
  <si>
    <t>09/10/2024 2:42:52</t>
  </si>
  <si>
    <t>BANCO_2</t>
  </si>
  <si>
    <t>CUENTA_2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</si>
</sst>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-* #,##0_-;\-* #,##0_-;_-* &quot;-&quot;??_-;_-@_-"/>
    <numFmt numFmtId="166" formatCode="_-* #,##0.0000_-;\-* #,##0.0000_-;_-* &quot;-&quot;??_-;_-@_-"/>
    <numFmt numFmtId="167" formatCode="0.0"/>
    <numFmt numFmtId="168" formatCode="_-* #,##0_-;_-* #,##0_-;_-* \-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C0C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/>
      <bottom style="thin">
        <color theme="5" tint="0.3999755851924192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1">
    <xf numFmtId="0" fontId="0" fillId="0" borderId="0" xfId="0"/>
    <xf numFmtId="0" fontId="2" fillId="2" borderId="0" xfId="0" applyFont="1" applyFill="1"/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/>
    <xf numFmtId="0" fontId="2" fillId="2" borderId="0" xfId="0" applyFont="1" applyFill="1" applyAlignment="1">
      <alignment horizontal="center"/>
    </xf>
    <xf numFmtId="165" fontId="2" fillId="2" borderId="0" xfId="1" applyNumberFormat="1" applyFont="1" applyFill="1"/>
    <xf numFmtId="165" fontId="2" fillId="2" borderId="0" xfId="0" applyNumberFormat="1" applyFont="1" applyFill="1"/>
    <xf numFmtId="164" fontId="2" fillId="2" borderId="0" xfId="0" applyNumberFormat="1" applyFont="1" applyFill="1"/>
    <xf numFmtId="16" fontId="2" fillId="2" borderId="0" xfId="0" applyNumberFormat="1" applyFont="1" applyFill="1" applyAlignment="1">
      <alignment horizontal="center"/>
    </xf>
    <xf numFmtId="166" fontId="2" fillId="2" borderId="0" xfId="0" applyNumberFormat="1" applyFont="1" applyFill="1"/>
    <xf numFmtId="165" fontId="2" fillId="2" borderId="2" xfId="1" applyNumberFormat="1" applyFont="1" applyFill="1" applyBorder="1"/>
    <xf numFmtId="0" fontId="3" fillId="2" borderId="0" xfId="0" applyFont="1" applyFill="1"/>
    <xf numFmtId="0" fontId="2" fillId="2" borderId="3" xfId="0" applyFont="1" applyFill="1" applyBorder="1" applyAlignment="1">
      <alignment horizontal="center"/>
    </xf>
    <xf numFmtId="0" fontId="3" fillId="3" borderId="2" xfId="0" applyFont="1" applyFill="1" applyBorder="1"/>
    <xf numFmtId="0" fontId="4" fillId="2" borderId="1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2" fontId="2" fillId="2" borderId="6" xfId="0" applyNumberFormat="1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14" fontId="3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/>
    <xf numFmtId="167" fontId="2" fillId="2" borderId="6" xfId="0" applyNumberFormat="1" applyFont="1" applyFill="1" applyBorder="1" applyAlignment="1">
      <alignment horizontal="center"/>
    </xf>
    <xf numFmtId="165" fontId="2" fillId="2" borderId="3" xfId="1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22" fontId="0" fillId="2" borderId="0" xfId="0" applyNumberFormat="1" applyFill="1"/>
    <xf numFmtId="165" fontId="0" fillId="2" borderId="0" xfId="1" applyNumberFormat="1" applyFont="1" applyFill="1"/>
    <xf numFmtId="164" fontId="2" fillId="2" borderId="3" xfId="1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164" fontId="2" fillId="2" borderId="2" xfId="1" applyFont="1" applyFill="1" applyBorder="1" applyAlignment="1">
      <alignment horizontal="center"/>
    </xf>
    <xf numFmtId="164" fontId="2" fillId="2" borderId="8" xfId="1" applyFont="1" applyFill="1" applyBorder="1" applyAlignment="1">
      <alignment horizontal="center"/>
    </xf>
    <xf numFmtId="165" fontId="2" fillId="2" borderId="5" xfId="1" applyNumberFormat="1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" xfId="0" applyFill="1" applyBorder="1"/>
    <xf numFmtId="0" fontId="6" fillId="2" borderId="2" xfId="0" applyFont="1" applyFill="1" applyBorder="1" applyAlignment="1">
      <alignment horizontal="center"/>
    </xf>
    <xf numFmtId="0" fontId="0" fillId="0" borderId="7" xfId="0" applyBorder="1"/>
    <xf numFmtId="0" fontId="0" fillId="2" borderId="7" xfId="0" applyFill="1" applyBorder="1"/>
    <xf numFmtId="0" fontId="0" fillId="0" borderId="2" xfId="0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0" fillId="2" borderId="2" xfId="1" applyNumberFormat="1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22" fontId="4" fillId="2" borderId="0" xfId="0" applyNumberFormat="1" applyFont="1" applyFill="1" applyAlignment="1">
      <alignment horizontal="center"/>
    </xf>
    <xf numFmtId="0" fontId="9" fillId="3" borderId="2" xfId="0" applyFont="1" applyFill="1" applyBorder="1" applyAlignment="1">
      <alignment horizontal="center"/>
    </xf>
    <xf numFmtId="165" fontId="0" fillId="2" borderId="2" xfId="1" applyNumberFormat="1" applyFont="1" applyFill="1" applyBorder="1"/>
    <xf numFmtId="0" fontId="9" fillId="2" borderId="0" xfId="0" applyFont="1" applyFill="1"/>
    <xf numFmtId="165" fontId="9" fillId="2" borderId="0" xfId="1" applyNumberFormat="1" applyFont="1" applyFill="1" applyBorder="1"/>
    <xf numFmtId="0" fontId="0" fillId="4" borderId="0" xfId="0" applyFill="1"/>
    <xf numFmtId="165" fontId="2" fillId="2" borderId="6" xfId="1" applyNumberFormat="1" applyFont="1" applyFill="1" applyBorder="1" applyAlignment="1">
      <alignment horizontal="center"/>
    </xf>
    <xf numFmtId="0" fontId="0" fillId="6" borderId="0" xfId="0" applyFill="1"/>
    <xf numFmtId="0" fontId="7" fillId="6" borderId="0" xfId="0" applyFont="1" applyFill="1"/>
    <xf numFmtId="0" fontId="6" fillId="6" borderId="2" xfId="0" applyFont="1" applyFill="1" applyBorder="1"/>
    <xf numFmtId="0" fontId="6" fillId="6" borderId="0" xfId="0" applyFont="1" applyFill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68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left"/>
    </xf>
    <xf numFmtId="0" fontId="0" fillId="2" borderId="0" xfId="0" applyFill="1" applyAlignment="1">
      <alignment horizontal="center"/>
    </xf>
    <xf numFmtId="22" fontId="2" fillId="2" borderId="0" xfId="0" applyNumberFormat="1" applyFont="1" applyFill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0" fillId="2" borderId="0" xfId="0" applyNumberFormat="1" applyFill="1"/>
  </cellXfs>
  <cellStyles count="2">
    <cellStyle name="Millares" xfId="1" builtinId="3"/>
    <cellStyle name="Normal" xfId="0" builtinId="0"/>
  </cellStyles>
  <dxfs count="86"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>
          <fgColor indexed="64"/>
          <bgColor theme="0"/>
        </patternFill>
      </fill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numFmt numFmtId="165" formatCode="_-* #,##0_-;\-* #,##0_-;_-* &quot;-&quot;??_-;_-@_-"/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dd\-mmm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  <vertical/>
        <horizontal/>
      </border>
    </dxf>
    <dxf>
      <border outline="0">
        <top style="thin">
          <color theme="5" tint="0.39997558519241921"/>
        </top>
      </border>
    </dxf>
    <dxf>
      <border outline="0">
        <top style="thin">
          <color indexed="64"/>
        </top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g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15240</xdr:rowOff>
    </xdr:from>
    <xdr:to>
      <xdr:col>2</xdr:col>
      <xdr:colOff>1256195</xdr:colOff>
      <xdr:row>11</xdr:row>
      <xdr:rowOff>107413</xdr:rowOff>
    </xdr:to>
    <xdr:pic macro="[0]!Iniciar">
      <xdr:nvPicPr>
        <xdr:cNvPr id="3" name="Imagen 2">
          <a:extLst>
            <a:ext uri="{FF2B5EF4-FFF2-40B4-BE49-F238E27FC236}">
              <a16:creationId xmlns:a16="http://schemas.microsoft.com/office/drawing/2014/main" id="{5AF1B9F7-5FF3-6167-7EF9-621EF720B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40"/>
          <a:ext cx="2070652" cy="2218043"/>
        </a:xfrm>
        <a:prstGeom prst="rect">
          <a:avLst/>
        </a:prstGeom>
      </xdr:spPr>
    </xdr:pic>
    <xdr:clientData/>
  </xdr:twoCellAnchor>
  <xdr:twoCellAnchor>
    <xdr:from>
      <xdr:col>9</xdr:col>
      <xdr:colOff>441739</xdr:colOff>
      <xdr:row>6</xdr:row>
      <xdr:rowOff>176695</xdr:rowOff>
    </xdr:from>
    <xdr:to>
      <xdr:col>10</xdr:col>
      <xdr:colOff>706783</xdr:colOff>
      <xdr:row>9</xdr:row>
      <xdr:rowOff>176696</xdr:rowOff>
    </xdr:to>
    <xdr:sp macro="[0]!EliminarEmpleado" textlink="">
      <xdr:nvSpPr>
        <xdr:cNvPr id="2" name="Rectángulo 1">
          <a:extLst>
            <a:ext uri="{FF2B5EF4-FFF2-40B4-BE49-F238E27FC236}">
              <a16:creationId xmlns:a16="http://schemas.microsoft.com/office/drawing/2014/main" id="{59BA407B-E8B0-2E7B-DF01-10FEF611F33A}"/>
            </a:ext>
          </a:extLst>
        </xdr:cNvPr>
        <xdr:cNvSpPr/>
      </xdr:nvSpPr>
      <xdr:spPr>
        <a:xfrm>
          <a:off x="13307391" y="1303130"/>
          <a:ext cx="1645479" cy="563218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400" b="1" i="1" baseline="0"/>
            <a:t>ELIMINAR EMPLEADO </a:t>
          </a:r>
          <a:endParaRPr lang="es-CO" sz="1400" b="1" i="1"/>
        </a:p>
      </xdr:txBody>
    </xdr:sp>
    <xdr:clientData/>
  </xdr:twoCellAnchor>
  <xdr:twoCellAnchor>
    <xdr:from>
      <xdr:col>10</xdr:col>
      <xdr:colOff>903356</xdr:colOff>
      <xdr:row>6</xdr:row>
      <xdr:rowOff>163443</xdr:rowOff>
    </xdr:from>
    <xdr:to>
      <xdr:col>11</xdr:col>
      <xdr:colOff>1091096</xdr:colOff>
      <xdr:row>9</xdr:row>
      <xdr:rowOff>163444</xdr:rowOff>
    </xdr:to>
    <xdr:sp macro="[0]!CrearCopiaSeguridad" textlink="">
      <xdr:nvSpPr>
        <xdr:cNvPr id="4" name="Rectángulo 3">
          <a:extLst>
            <a:ext uri="{FF2B5EF4-FFF2-40B4-BE49-F238E27FC236}">
              <a16:creationId xmlns:a16="http://schemas.microsoft.com/office/drawing/2014/main" id="{BD4A8ADF-699F-4210-BF58-8742F31950B9}"/>
            </a:ext>
          </a:extLst>
        </xdr:cNvPr>
        <xdr:cNvSpPr/>
      </xdr:nvSpPr>
      <xdr:spPr>
        <a:xfrm>
          <a:off x="15149443" y="1289878"/>
          <a:ext cx="1645479" cy="563218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400" b="1" i="1"/>
            <a:t>COPIA</a:t>
          </a:r>
          <a:r>
            <a:rPr lang="es-CO" sz="1400" b="1" i="1" baseline="0"/>
            <a:t> DE SEGURIDAD</a:t>
          </a:r>
          <a:endParaRPr lang="es-CO" sz="1400" b="1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493152</xdr:colOff>
      <xdr:row>2</xdr:row>
      <xdr:rowOff>42354</xdr:rowOff>
    </xdr:from>
    <xdr:to>
      <xdr:col>2</xdr:col>
      <xdr:colOff>435430</xdr:colOff>
      <xdr:row>10</xdr:row>
      <xdr:rowOff>74627</xdr:rowOff>
    </xdr:to>
    <xdr:pic macro="[0]!Iniciar">
      <xdr:nvPicPr>
        <xdr:cNvPr id="4" name="Imagen 3">
          <a:extLst>
            <a:ext uri="{FF2B5EF4-FFF2-40B4-BE49-F238E27FC236}">
              <a16:creationId xmlns:a16="http://schemas.microsoft.com/office/drawing/2014/main" id="{DA880BFA-47C6-4167-9679-3A15F12465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09"/>
        <a:stretch/>
      </xdr:blipFill>
      <xdr:spPr>
        <a:xfrm>
          <a:off x="493152" y="415578"/>
          <a:ext cx="1528482" cy="1525171"/>
        </a:xfrm>
        <a:prstGeom prst="rect">
          <a:avLst/>
        </a:prstGeom>
      </xdr:spPr>
    </xdr:pic>
    <xdr:clientData/>
  </xdr:twoCellAnchor>
  <xdr:twoCellAnchor>
    <xdr:from>
      <xdr:col>10</xdr:col>
      <xdr:colOff>894184</xdr:colOff>
      <xdr:row>3</xdr:row>
      <xdr:rowOff>106915</xdr:rowOff>
    </xdr:from>
    <xdr:to>
      <xdr:col>11</xdr:col>
      <xdr:colOff>754225</xdr:colOff>
      <xdr:row>5</xdr:row>
      <xdr:rowOff>44708</xdr:rowOff>
    </xdr:to>
    <xdr:sp macro="[0]!AnularPago" textlink="">
      <xdr:nvSpPr>
        <xdr:cNvPr id="2" name="Rectángulo 1">
          <a:extLst>
            <a:ext uri="{FF2B5EF4-FFF2-40B4-BE49-F238E27FC236}">
              <a16:creationId xmlns:a16="http://schemas.microsoft.com/office/drawing/2014/main" id="{B6B45650-64C6-4128-9C10-45223DEAF08B}"/>
            </a:ext>
          </a:extLst>
        </xdr:cNvPr>
        <xdr:cNvSpPr/>
      </xdr:nvSpPr>
      <xdr:spPr>
        <a:xfrm>
          <a:off x="9845740" y="690078"/>
          <a:ext cx="1133281" cy="326569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400" b="1" i="1"/>
            <a:t>ANULAR</a:t>
          </a:r>
          <a:r>
            <a:rPr lang="es-CO" sz="1400" b="1" i="1" baseline="0"/>
            <a:t> </a:t>
          </a:r>
          <a:endParaRPr lang="es-CO" sz="1400" b="1" i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525781</xdr:colOff>
      <xdr:row>3</xdr:row>
      <xdr:rowOff>99060</xdr:rowOff>
    </xdr:from>
    <xdr:to>
      <xdr:col>2</xdr:col>
      <xdr:colOff>426721</xdr:colOff>
      <xdr:row>11</xdr:row>
      <xdr:rowOff>102646</xdr:rowOff>
    </xdr:to>
    <xdr:pic macro="[0]!Iniciar">
      <xdr:nvPicPr>
        <xdr:cNvPr id="2" name="Imagen 1">
          <a:extLst>
            <a:ext uri="{FF2B5EF4-FFF2-40B4-BE49-F238E27FC236}">
              <a16:creationId xmlns:a16="http://schemas.microsoft.com/office/drawing/2014/main" id="{64146850-BD91-4376-B24A-D8CD99F96B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598"/>
        <a:stretch/>
      </xdr:blipFill>
      <xdr:spPr>
        <a:xfrm>
          <a:off x="525781" y="647700"/>
          <a:ext cx="1485900" cy="146662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403860</xdr:colOff>
      <xdr:row>3</xdr:row>
      <xdr:rowOff>15240</xdr:rowOff>
    </xdr:from>
    <xdr:to>
      <xdr:col>2</xdr:col>
      <xdr:colOff>304800</xdr:colOff>
      <xdr:row>11</xdr:row>
      <xdr:rowOff>18826</xdr:rowOff>
    </xdr:to>
    <xdr:pic macro="[0]!Iniciar">
      <xdr:nvPicPr>
        <xdr:cNvPr id="2" name="Imagen 1">
          <a:extLst>
            <a:ext uri="{FF2B5EF4-FFF2-40B4-BE49-F238E27FC236}">
              <a16:creationId xmlns:a16="http://schemas.microsoft.com/office/drawing/2014/main" id="{309D7BEA-D6F9-4796-9A1D-15E841136B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598"/>
        <a:stretch/>
      </xdr:blipFill>
      <xdr:spPr>
        <a:xfrm>
          <a:off x="403860" y="563880"/>
          <a:ext cx="1485900" cy="146662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470808</xdr:colOff>
      <xdr:row>1</xdr:row>
      <xdr:rowOff>152796</xdr:rowOff>
    </xdr:from>
    <xdr:to>
      <xdr:col>0</xdr:col>
      <xdr:colOff>2038048</xdr:colOff>
      <xdr:row>9</xdr:row>
      <xdr:rowOff>183405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BE3180B-4F12-40E7-03BD-A276CB6FE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0808" y="343296"/>
          <a:ext cx="1567240" cy="1554609"/>
        </a:xfrm>
        <a:prstGeom prst="rect">
          <a:avLst/>
        </a:prstGeom>
      </xdr:spPr>
    </xdr:pic>
    <xdr:clientData/>
  </xdr:twoCellAnchor>
  <xdr:twoCellAnchor>
    <xdr:from>
      <xdr:col>0</xdr:col>
      <xdr:colOff>2112309</xdr:colOff>
      <xdr:row>8</xdr:row>
      <xdr:rowOff>13603</xdr:rowOff>
    </xdr:from>
    <xdr:to>
      <xdr:col>3</xdr:col>
      <xdr:colOff>316166</xdr:colOff>
      <xdr:row>29</xdr:row>
      <xdr:rowOff>68032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CCD5AC90-EDBB-4728-0912-EE0609F5960B}"/>
            </a:ext>
          </a:extLst>
        </xdr:cNvPr>
        <xdr:cNvSpPr/>
      </xdr:nvSpPr>
      <xdr:spPr>
        <a:xfrm>
          <a:off x="2112309" y="1537603"/>
          <a:ext cx="4423122" cy="4155782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1600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588818</xdr:colOff>
      <xdr:row>1</xdr:row>
      <xdr:rowOff>69273</xdr:rowOff>
    </xdr:from>
    <xdr:to>
      <xdr:col>1</xdr:col>
      <xdr:colOff>2156058</xdr:colOff>
      <xdr:row>9</xdr:row>
      <xdr:rowOff>99882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60D4993-5F02-45C0-9D87-74AC8D3C29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8943" y="259773"/>
          <a:ext cx="1567240" cy="1554609"/>
        </a:xfrm>
        <a:prstGeom prst="rect">
          <a:avLst/>
        </a:prstGeom>
      </xdr:spPr>
    </xdr:pic>
    <xdr:clientData/>
  </xdr:twoCellAnchor>
  <xdr:twoCellAnchor>
    <xdr:from>
      <xdr:col>2</xdr:col>
      <xdr:colOff>116898</xdr:colOff>
      <xdr:row>4</xdr:row>
      <xdr:rowOff>180975</xdr:rowOff>
    </xdr:from>
    <xdr:to>
      <xdr:col>4</xdr:col>
      <xdr:colOff>52573</xdr:colOff>
      <xdr:row>25</xdr:row>
      <xdr:rowOff>94384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5E7F43C7-FB2C-4ADB-9088-7BA4010118F6}"/>
            </a:ext>
          </a:extLst>
        </xdr:cNvPr>
        <xdr:cNvSpPr/>
      </xdr:nvSpPr>
      <xdr:spPr>
        <a:xfrm>
          <a:off x="2698173" y="942975"/>
          <a:ext cx="3517075" cy="3913909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1600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674193</xdr:colOff>
      <xdr:row>8</xdr:row>
      <xdr:rowOff>89648</xdr:rowOff>
    </xdr:from>
    <xdr:to>
      <xdr:col>7</xdr:col>
      <xdr:colOff>838841</xdr:colOff>
      <xdr:row>32</xdr:row>
      <xdr:rowOff>179294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7C9F4C06-3978-4A44-9A59-D2F79A9D95D0}"/>
            </a:ext>
          </a:extLst>
        </xdr:cNvPr>
        <xdr:cNvSpPr/>
      </xdr:nvSpPr>
      <xdr:spPr>
        <a:xfrm>
          <a:off x="1234487" y="1613648"/>
          <a:ext cx="5924472" cy="4661646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1600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5DCF5C-20A4-4270-B50B-32663001677D}" name="Tabla1" displayName="Tabla1" ref="D14:S19" totalsRowShown="0" headerRowDxfId="85" dataDxfId="83" headerRowBorderDxfId="84" tableBorderDxfId="82">
  <autoFilter ref="D14:S19" xr:uid="{4F5DCF5C-20A4-4270-B50B-32663001677D}"/>
  <tableColumns count="16">
    <tableColumn id="1" xr3:uid="{8A53FA17-58E1-492A-AEE1-9532D18A3602}" name="ID" dataDxfId="81"/>
    <tableColumn id="9" xr3:uid="{6EF65092-2556-475B-A4D4-DE7ED043BE4E}" name="INCORPORACION" dataDxfId="80"/>
    <tableColumn id="2" xr3:uid="{8D86AAAD-8E55-457A-9214-DD569B0C60DC}" name="NOMBRE" dataDxfId="79"/>
    <tableColumn id="3" xr3:uid="{3B8E572D-3521-4209-93B9-F49EDB141C16}" name="CEDULA" dataDxfId="78"/>
    <tableColumn id="6" xr3:uid="{ED2DE24A-13CE-4BE3-9558-68ECACC31FC2}" name="SALARIO PN" dataDxfId="77" dataCellStyle="Millares"/>
    <tableColumn id="7" xr3:uid="{80A2712E-0A71-43A0-ABD6-C6D3024C75FB}" name="SALARIO NP" dataDxfId="76" dataCellStyle="Millares"/>
    <tableColumn id="4" xr3:uid="{F24F9B95-A7B8-47DB-B36C-1C250C27569C}" name="AFP EMPLEADO" dataDxfId="75" dataCellStyle="Millares"/>
    <tableColumn id="10" xr3:uid="{D212F4EE-20E4-4C5C-ABEF-4ECD01B67D3C}" name="AFP EMPLEADOR" dataDxfId="74" dataCellStyle="Millares">
      <calculatedColumnFormula>+(Tabla1[[#This Row],[SALARIO PN]]*0.255)</calculatedColumnFormula>
    </tableColumn>
    <tableColumn id="8" xr3:uid="{83BA9320-D08F-42DA-AD14-AE4DD1E4A3C9}" name="SALARIO REAL" dataDxfId="73">
      <calculatedColumnFormula>+Tabla1[[#This Row],[SALARIO PN]]+Tabla1[[#This Row],[SALARIO NP]]+Tabla1[[#This Row],[AFP EMPLEADO]]+Tabla1[[#This Row],[AFP EMPLEADOR]]</calculatedColumnFormula>
    </tableColumn>
    <tableColumn id="11" xr3:uid="{E9E60955-D1C3-4B7B-9C2D-E71243B3C9EF}" name="SALARIO X PAGAR" dataDxfId="72" dataCellStyle="Millares">
      <calculatedColumnFormula>+Tabla1[[#This Row],[SALARIO PN]]-Tabla1[[#This Row],[AFP EMPLEADO]]+Tabla1[[#This Row],[SALARIO NP]]</calculatedColumnFormula>
    </tableColumn>
    <tableColumn id="5" xr3:uid="{F3E00350-C96A-4300-A3CC-6FCDD9B34D9A}" name="BANCO" dataDxfId="71" dataCellStyle="Millares"/>
    <tableColumn id="12" xr3:uid="{DC7911C2-CB54-4EEC-8A94-49307A2D19E1}" name="CUENTA" dataDxfId="70" dataCellStyle="Millares"/>
    <tableColumn id="13" xr3:uid="{64776225-8A98-4594-B7D8-4E96505B2241}" name="SALUD" dataDxfId="69" dataCellStyle="Millares"/>
    <tableColumn id="14" xr3:uid="{2B6B8352-570F-4EAC-86C4-8954600182B2}" name="PENSION" dataDxfId="68" dataCellStyle="Millares"/>
    <tableColumn id="15" xr3:uid="{7A5BEBA6-A3B4-49CE-97A8-CBE893C079FF}" name="C_COMP" dataDxfId="67" dataCellStyle="Millares"/>
    <tableColumn id="16" xr3:uid="{96ADC60F-EA3C-426D-8063-705990F1F638}" name="2CTA" dataDxfId="66" dataCellStyle="Millares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A74500-4C74-400D-A2F2-BD7E6823FF70}" name="Tabla2" displayName="Tabla2" ref="D36:I41" totalsRowShown="0" headerRowDxfId="65" dataDxfId="63" headerRowBorderDxfId="64" tableBorderDxfId="62" totalsRowBorderDxfId="61">
  <autoFilter ref="D36:I41" xr:uid="{F8A74500-4C74-400D-A2F2-BD7E6823FF70}"/>
  <tableColumns count="6">
    <tableColumn id="1" xr3:uid="{43103C5C-D1C5-466D-B23E-8A6E8D5ADE13}" name="ID" dataDxfId="60"/>
    <tableColumn id="2" xr3:uid="{EFFBFFEC-306C-4829-BCF3-AAD7AEFCF40B}" name="INCORPORACION" dataDxfId="59"/>
    <tableColumn id="3" xr3:uid="{8F02FFE4-A493-41D0-AD13-2C8CAFC7FFA4}" name="NOMBRE" dataDxfId="58"/>
    <tableColumn id="4" xr3:uid="{0689BDC8-2011-4C81-98DC-5BCCFC332E79}" name="ACUMULADOS" dataDxfId="57">
      <calculatedColumnFormula>((($E$23-Tabla2[[#This Row],[INCORPORACION]])/30)/12)*15</calculatedColumnFormula>
    </tableColumn>
    <tableColumn id="5" xr3:uid="{7C1B6814-48A2-4A60-8508-1813D68FEED9}" name="GASTADOS" dataDxfId="56" dataCellStyle="Millares">
      <calculatedColumnFormula>+SUMIF(Tabla5[EMPLEADO],Tabla2[[#This Row],[NOMBRE]],Tabla5[DIAS SOLICITADOS])</calculatedColumnFormula>
    </tableColumn>
    <tableColumn id="6" xr3:uid="{A2CBC7B9-76C5-440A-8259-381E2E523607}" name="DISPONIBLES" dataDxfId="55">
      <calculatedColumnFormula>+Tabla2[[#This Row],[ACUMULADOS]]-Tabla2[[#This Row],[GASTADOS]]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E87D99-2A89-4508-BB8D-B65F3B6CD859}" name="Tabla3" displayName="Tabla3" ref="D26:I31" totalsRowShown="0" headerRowDxfId="54" headerRowBorderDxfId="53" tableBorderDxfId="52">
  <autoFilter ref="D26:I31" xr:uid="{00E87D99-2A89-4508-BB8D-B65F3B6CD859}"/>
  <tableColumns count="6">
    <tableColumn id="1" xr3:uid="{88C32894-CCCA-4B79-864D-C16472F59E89}" name="ID" dataDxfId="51"/>
    <tableColumn id="2" xr3:uid="{A2D4197E-3432-4983-878E-AF7A1CBAD43D}" name="NOMBRE" dataDxfId="50"/>
    <tableColumn id="3" xr3:uid="{CA1AD92D-7A46-4BAF-8E4D-634E903E8908}" name="PRIMERA QUINCENA" dataDxfId="49" dataCellStyle="Millares">
      <calculatedColumnFormula>+(VLOOKUP(Tabla3[[#This Row],[ID]],Tabla1[#All],10,0))/2</calculatedColumnFormula>
    </tableColumn>
    <tableColumn id="4" xr3:uid="{888B6EFF-E053-440B-B329-7CC6E5A52552}" name="EJECUTADO" dataDxfId="48">
      <calculatedColumnFormula>+SUMIFS(Tabla4[VALOR],Tabla4[NOMBRE EMPLEADO],Tabla3[[#This Row],[NOMBRE]],Tabla4[CICLO],1)</calculatedColumnFormula>
    </tableColumn>
    <tableColumn id="6" xr3:uid="{C7772DB1-01BC-4AC4-A763-046AB9E8AEE5}" name="SEGUNDA QUINCENA" dataDxfId="47" dataCellStyle="Millares">
      <calculatedColumnFormula>+(VLOOKUP(Tabla3[[#This Row],[ID]],Tabla1[#All],10,0))/2</calculatedColumnFormula>
    </tableColumn>
    <tableColumn id="7" xr3:uid="{24168099-C9C4-4EC3-870C-A5FF4E42C610}" name="EJECUTADO2" dataDxfId="46" dataCellStyle="Millares">
      <calculatedColumnFormula>+SUMIFS(Tabla4[VALOR],Tabla4[NOMBRE EMPLEADO],Tabla3[[#This Row],[NOMBRE]],Tabla4[CICLO],2,Tabla4[MES],MONTH($E$23))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D9A28B-F90F-4773-90C8-CBD9277050AC}" name="Tabla4" displayName="Tabla4" ref="D8:N13" totalsRowShown="0" headerRowDxfId="2" dataDxfId="44" headerRowBorderDxfId="45" tableBorderDxfId="43">
  <autoFilter ref="D8:N13" xr:uid="{1AD9A28B-F90F-4773-90C8-CBD9277050AC}"/>
  <tableColumns count="11">
    <tableColumn id="1" xr3:uid="{12EF0E9E-567F-4240-B0FC-D175BF5AE399}" name="ID" dataDxfId="42"/>
    <tableColumn id="2" xr3:uid="{E65DD675-4E28-4522-85A0-508751F0ABFC}" name="FECHA" dataDxfId="41">
      <calculatedColumnFormula>+TODAY()</calculatedColumnFormula>
    </tableColumn>
    <tableColumn id="4" xr3:uid="{C86EB71E-B82E-4838-ADF2-6BBCDDC2411F}" name="DIA" dataDxfId="40">
      <calculatedColumnFormula>+DAY(Tabla4[[#This Row],[FECHA]])</calculatedColumnFormula>
    </tableColumn>
    <tableColumn id="6" xr3:uid="{F20403A2-60A0-4D8E-813F-4FA0A585A7F0}" name="MES" dataDxfId="39">
      <calculatedColumnFormula>+MONTH(Tabla4[[#This Row],[FECHA]])</calculatedColumnFormula>
    </tableColumn>
    <tableColumn id="3" xr3:uid="{E4FBE30B-C531-4359-8927-B31DE5350673}" name="NOMBRE EMPLEADO" dataDxfId="38"/>
    <tableColumn id="5" xr3:uid="{FCA28D38-F103-4A3A-A237-BD1E3B5EBAA0}" name="VALOR" dataDxfId="37" dataCellStyle="Millares"/>
    <tableColumn id="7" xr3:uid="{1373A96C-A75A-4F1E-B827-7C8249FE62BA}" name="CICLO" dataDxfId="36">
      <calculatedColumnFormula>+IF(AND(Tabla4[[#This Row],[DIA]]&gt;=1,Tabla4[[#This Row],[DIA]]&lt;=15),1,2)</calculatedColumnFormula>
    </tableColumn>
    <tableColumn id="8" xr3:uid="{1D07F293-0029-445B-A0ED-34BACDEE7DC0}" name="CONCEPTO" dataDxfId="35"/>
    <tableColumn id="9" xr3:uid="{9EA9A75C-7CE5-45C0-81A0-A56903A84912}" name="CC" dataDxfId="34">
      <calculatedColumnFormula>+IFERROR(VLOOKUP(Tabla4[[#This Row],[NOMBRE EMPLEADO]],Tabla1[[NOMBRE]:[CEDULA]],2,0),"")</calculatedColumnFormula>
    </tableColumn>
    <tableColumn id="10" xr3:uid="{B97E8FEB-22E5-4554-89B6-F5DE2E4F8281}" name="cCUENTA" dataDxfId="1"/>
    <tableColumn id="11" xr3:uid="{B1ACD7A7-E71A-4698-9EFA-5204A4D6DEA3}" name="nCUENTA" dataDxfId="0">
      <calculatedColumnFormula>+IF(Tabla4[[#This Row],[cCUENTA]]=1,VLOOKUP(Tabla4[[#This Row],[NOMBRE EMPLEADO]],Tabla1[[#All],[NOMBRE]:[2CTA]],10,0),VLOOKUP(Tabla4[[#This Row],[NOMBRE EMPLEADO]],Tabla1[[#All],[NOMBRE]:[2CTA]],14,0))</calculatedColumnFormula>
    </tableColumn>
  </tableColumns>
  <tableStyleInfo name="TableStyleMedium2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4A29225-0EF4-4EB5-B3D3-52565B6BB2D9}" name="Tabla5" displayName="Tabla5" ref="D8:I9" totalsRowShown="0" headerRowDxfId="33" dataDxfId="31" headerRowBorderDxfId="32" tableBorderDxfId="30">
  <autoFilter ref="D8:I9" xr:uid="{D4A29225-0EF4-4EB5-B3D3-52565B6BB2D9}"/>
  <tableColumns count="6">
    <tableColumn id="1" xr3:uid="{DA28408F-F000-4EBB-8594-3909CE999911}" name="ID" dataDxfId="29"/>
    <tableColumn id="2" xr3:uid="{5D00E4C4-EB26-4E4C-B373-DEE6AF3D63D0}" name="EMPLEADO" dataDxfId="28"/>
    <tableColumn id="6" xr3:uid="{F03C0759-9FE2-43F0-B2B1-01CFE45F8D50}" name="FECHA SOLICITUD" dataDxfId="27"/>
    <tableColumn id="3" xr3:uid="{458FB24C-EA43-4703-9A79-D067BC4E257F}" name="FECHA INICIAL" dataDxfId="26"/>
    <tableColumn id="4" xr3:uid="{7EA75E4F-9D71-4AEF-9FEE-20E6EC223DC9}" name="FECHA FINAL" dataDxfId="25"/>
    <tableColumn id="5" xr3:uid="{1CB364EA-9189-49A1-97B3-34D2409D0245}" name="DIAS SOLICITADOS" dataDxfId="2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E012E12-18BB-4B29-90A4-305F52C26E6F}" name="Tabla6" displayName="Tabla6" ref="D8:G9" totalsRowShown="0" headerRowDxfId="23" dataDxfId="21" headerRowBorderDxfId="22" tableBorderDxfId="20">
  <autoFilter ref="D8:G9" xr:uid="{BE012E12-18BB-4B29-90A4-305F52C26E6F}"/>
  <tableColumns count="4">
    <tableColumn id="1" xr3:uid="{1C8B50EB-66C2-440A-8911-5D8DF5EE3B6D}" name="RUTA" dataDxfId="19"/>
    <tableColumn id="2" xr3:uid="{6D832642-821A-4B37-A0DE-64BB981C7462}" name="NOMBRE DOCUMENTO" dataDxfId="18"/>
    <tableColumn id="3" xr3:uid="{5BE6933F-EFA0-4D91-A693-71D81B9AF004}" name="CATEGORIA" dataDxfId="17"/>
    <tableColumn id="4" xr3:uid="{8A28610C-D991-4BFE-A7D9-3C5D8ECD3E5E}" name="FECHA REGISTRO" dataDxfId="1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AF87A30-4702-4BC5-8F98-3DBEAEEE8951}" name="Tabla7" displayName="Tabla7" ref="A9:I10" totalsRowShown="0" headerRowDxfId="15" dataDxfId="13" headerRowBorderDxfId="14" tableBorderDxfId="12">
  <autoFilter ref="A9:I10" xr:uid="{1AF87A30-4702-4BC5-8F98-3DBEAEEE8951}"/>
  <sortState xmlns:xlrd2="http://schemas.microsoft.com/office/spreadsheetml/2017/richdata2" ref="A10:I10">
    <sortCondition descending="1" ref="A9:A10"/>
  </sortState>
  <tableColumns count="9">
    <tableColumn id="1" xr3:uid="{5AEE72CD-E72D-4198-B395-66FB088E3954}" name="ID" dataDxfId="11"/>
    <tableColumn id="2" xr3:uid="{03E43A5F-2E35-4410-B20A-3C225107B4C5}" name="FECHA" dataDxfId="10"/>
    <tableColumn id="3" xr3:uid="{1099EDDA-5307-424C-93CC-B6D8431BE0FC}" name="DIA" dataDxfId="9"/>
    <tableColumn id="4" xr3:uid="{D594E91F-1C7F-421D-B6C1-74A88321A88B}" name="MES" dataDxfId="8"/>
    <tableColumn id="5" xr3:uid="{0D5FFFF0-C147-416B-94E3-418055932C37}" name="NOMBRE EMPLEADO" dataDxfId="7"/>
    <tableColumn id="6" xr3:uid="{BE9417E7-5229-440D-AC16-ED101FE10C63}" name="VALOR" dataDxfId="6"/>
    <tableColumn id="7" xr3:uid="{910EF66D-8096-40F2-A98B-8219211D2699}" name="CICLO" dataDxfId="5"/>
    <tableColumn id="8" xr3:uid="{565C425E-B7D4-4A23-B436-17CBC03C85C8}" name="CONCEPTO" dataDxfId="4"/>
    <tableColumn id="9" xr3:uid="{5C00978C-9C5C-48F9-8B47-083E7616D15A}" name="CC" dataDxfId="3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1E2E2-0612-4D78-A602-777887F59DA0}">
  <sheetPr codeName="Hoja1">
    <tabColor theme="5" tint="0.59999389629810485"/>
  </sheetPr>
  <dimension ref="D2:S46"/>
  <sheetViews>
    <sheetView tabSelected="1" zoomScale="69" zoomScaleNormal="85" workbookViewId="0">
      <selection activeCell="L26" sqref="L26"/>
    </sheetView>
  </sheetViews>
  <sheetFormatPr baseColWidth="10" defaultColWidth="11.5703125" defaultRowHeight="15" x14ac:dyDescent="0.25"/>
  <cols>
    <col min="1" max="1" width="4" style="1" customWidth="1"/>
    <col min="2" max="2" width="8.28515625" style="1" customWidth="1"/>
    <col min="3" max="3" width="20.28515625" style="1" customWidth="1"/>
    <col min="4" max="4" width="24.140625" style="1" bestFit="1" customWidth="1"/>
    <col min="5" max="6" width="36.140625" style="1" bestFit="1" customWidth="1"/>
    <col min="7" max="7" width="25.140625" style="1" bestFit="1" customWidth="1"/>
    <col min="8" max="8" width="33" style="1" bestFit="1" customWidth="1"/>
    <col min="9" max="9" width="24.42578125" style="1" bestFit="1" customWidth="1"/>
    <col min="10" max="10" width="27" style="1" bestFit="1" customWidth="1"/>
    <col min="11" max="11" width="28.7109375" style="1" bestFit="1" customWidth="1"/>
    <col min="12" max="12" width="25.85546875" style="1" bestFit="1" customWidth="1"/>
    <col min="13" max="13" width="30.5703125" style="1" bestFit="1" customWidth="1"/>
    <col min="14" max="14" width="16.85546875" style="1" bestFit="1" customWidth="1"/>
    <col min="15" max="15" width="18" style="1" bestFit="1" customWidth="1"/>
    <col min="16" max="16" width="16.42578125" style="1" bestFit="1" customWidth="1"/>
    <col min="17" max="17" width="19" style="1" bestFit="1" customWidth="1"/>
    <col min="18" max="18" width="13.42578125" style="1" bestFit="1" customWidth="1"/>
    <col min="19" max="19" width="15.42578125" style="1" bestFit="1" customWidth="1"/>
    <col min="20" max="16384" width="11.5703125" style="1"/>
  </cols>
  <sheetData>
    <row r="2" spans="4:19" x14ac:dyDescent="0.25">
      <c r="D2" s="13" t="s">
        <v>14</v>
      </c>
      <c r="E2" s="10">
        <f>+SUM(Tabla1[SALARIO PN])+SUM(Tabla1[SALARIO NP])</f>
        <v>8400000</v>
      </c>
      <c r="F2" s="60" t="s">
        <v>16</v>
      </c>
      <c r="G2" s="61"/>
      <c r="H2" s="61"/>
    </row>
    <row r="3" spans="4:19" x14ac:dyDescent="0.25">
      <c r="D3" s="11" t="s">
        <v>9</v>
      </c>
      <c r="E3" s="5">
        <f>+SUM(Tabla1[AFP EMPLEADO])</f>
        <v>0</v>
      </c>
      <c r="F3" s="60" t="s">
        <v>17</v>
      </c>
      <c r="G3" s="61"/>
      <c r="H3" s="61"/>
    </row>
    <row r="4" spans="4:19" x14ac:dyDescent="0.25">
      <c r="D4" s="11" t="s">
        <v>10</v>
      </c>
      <c r="E4" s="5">
        <f>+SUM(Tabla1[AFP EMPLEADOR])</f>
        <v>1657500</v>
      </c>
      <c r="F4" s="60" t="s">
        <v>18</v>
      </c>
      <c r="G4" s="61"/>
      <c r="H4" s="61"/>
    </row>
    <row r="5" spans="4:19" x14ac:dyDescent="0.25">
      <c r="D5" s="13" t="s">
        <v>15</v>
      </c>
      <c r="E5" s="10">
        <f>+SUM(Tabla1[SALARIO REAL])</f>
        <v>10057500</v>
      </c>
      <c r="F5" s="60" t="s">
        <v>19</v>
      </c>
      <c r="G5" s="61"/>
      <c r="H5" s="61"/>
    </row>
    <row r="8" spans="4:19" x14ac:dyDescent="0.25">
      <c r="D8" s="63" t="s">
        <v>40</v>
      </c>
      <c r="E8" s="64"/>
      <c r="F8" s="64"/>
      <c r="G8" s="64"/>
      <c r="H8" s="64"/>
      <c r="I8" s="64"/>
    </row>
    <row r="9" spans="4:19" x14ac:dyDescent="0.25">
      <c r="D9" s="28" t="s">
        <v>12</v>
      </c>
      <c r="E9" s="28" t="s">
        <v>13</v>
      </c>
      <c r="F9" s="28" t="s">
        <v>9</v>
      </c>
      <c r="G9" s="28" t="s">
        <v>10</v>
      </c>
      <c r="H9" s="28" t="s">
        <v>21</v>
      </c>
      <c r="I9" s="29" t="s">
        <v>20</v>
      </c>
    </row>
    <row r="10" spans="4:19" x14ac:dyDescent="0.25">
      <c r="D10" s="31">
        <v>1300000</v>
      </c>
      <c r="E10" s="31">
        <v>405000</v>
      </c>
      <c r="F10" s="31">
        <v>104000</v>
      </c>
      <c r="G10" s="31">
        <v>325000</v>
      </c>
      <c r="H10" s="31">
        <v>1601000</v>
      </c>
      <c r="I10" s="30">
        <v>1926000</v>
      </c>
    </row>
    <row r="13" spans="4:19" x14ac:dyDescent="0.25">
      <c r="D13" s="64" t="s">
        <v>8</v>
      </c>
      <c r="E13" s="64"/>
      <c r="F13" s="64"/>
      <c r="G13" s="64"/>
      <c r="H13" s="64"/>
      <c r="I13" s="64"/>
      <c r="J13" s="64"/>
      <c r="K13" s="64"/>
      <c r="L13" s="64"/>
      <c r="M13" s="64"/>
      <c r="N13" s="62" t="s">
        <v>56</v>
      </c>
      <c r="O13" s="62"/>
      <c r="P13" s="62"/>
      <c r="Q13" s="62"/>
      <c r="R13" s="62"/>
      <c r="S13" s="62"/>
    </row>
    <row r="14" spans="4:19" x14ac:dyDescent="0.25">
      <c r="D14" s="2" t="s">
        <v>2</v>
      </c>
      <c r="E14" s="2" t="s">
        <v>11</v>
      </c>
      <c r="F14" s="2" t="s">
        <v>0</v>
      </c>
      <c r="G14" s="2" t="s">
        <v>1</v>
      </c>
      <c r="H14" s="3" t="s">
        <v>12</v>
      </c>
      <c r="I14" s="3" t="s">
        <v>13</v>
      </c>
      <c r="J14" s="2" t="s">
        <v>9</v>
      </c>
      <c r="K14" s="2" t="s">
        <v>10</v>
      </c>
      <c r="L14" s="2" t="s">
        <v>21</v>
      </c>
      <c r="M14" s="2" t="s">
        <v>20</v>
      </c>
      <c r="N14" s="2" t="s">
        <v>54</v>
      </c>
      <c r="O14" s="2" t="s">
        <v>55</v>
      </c>
      <c r="P14" s="2" t="s">
        <v>53</v>
      </c>
      <c r="Q14" s="2" t="s">
        <v>52</v>
      </c>
      <c r="R14" s="2" t="s">
        <v>85</v>
      </c>
      <c r="S14" s="2" t="s">
        <v>84</v>
      </c>
    </row>
    <row r="15" spans="4:19" x14ac:dyDescent="0.25">
      <c r="D15" s="4">
        <v>1</v>
      </c>
      <c r="E15" s="8">
        <v>45292</v>
      </c>
      <c r="F15" s="4" t="s">
        <v>3</v>
      </c>
      <c r="G15" s="1">
        <v>1000139891</v>
      </c>
      <c r="H15" s="5">
        <v>1300000</v>
      </c>
      <c r="I15" s="5">
        <v>700000</v>
      </c>
      <c r="J15" s="5">
        <v>0</v>
      </c>
      <c r="K15" s="5">
        <f>+(Tabla1[[#This Row],[SALARIO PN]]*0.255)-Tabla1[[#This Row],[AFP EMPLEADO]]</f>
        <v>331500</v>
      </c>
      <c r="L15" s="6">
        <f>+Tabla1[[#This Row],[SALARIO PN]]+Tabla1[[#This Row],[SALARIO NP]]+Tabla1[[#This Row],[AFP EMPLEADO]]+Tabla1[[#This Row],[AFP EMPLEADOR]]</f>
        <v>2331500</v>
      </c>
      <c r="M15" s="5">
        <f>+Tabla1[[#This Row],[SALARIO PN]]-Tabla1[[#This Row],[AFP EMPLEADO]]+Tabla1[[#This Row],[SALARIO NP]]</f>
        <v>2000000</v>
      </c>
      <c r="N15" s="5" t="s">
        <v>86</v>
      </c>
      <c r="O15" s="5">
        <v>39682296</v>
      </c>
      <c r="P15" s="5" t="s">
        <v>87</v>
      </c>
      <c r="Q15" s="5" t="s">
        <v>88</v>
      </c>
      <c r="R15" s="5" t="s">
        <v>89</v>
      </c>
      <c r="S15" s="5">
        <v>123456789</v>
      </c>
    </row>
    <row r="16" spans="4:19" x14ac:dyDescent="0.25">
      <c r="D16" s="4">
        <v>2</v>
      </c>
      <c r="E16" s="8">
        <v>45353</v>
      </c>
      <c r="F16" s="4" t="s">
        <v>4</v>
      </c>
      <c r="G16" s="1">
        <v>52309351</v>
      </c>
      <c r="H16" s="5">
        <v>1300000</v>
      </c>
      <c r="I16" s="5">
        <v>300000</v>
      </c>
      <c r="J16" s="5">
        <v>0</v>
      </c>
      <c r="K16" s="5">
        <f>+(Tabla1[[#This Row],[SALARIO PN]]*0.255)</f>
        <v>331500</v>
      </c>
      <c r="L16" s="6">
        <f>+Tabla1[[#This Row],[SALARIO PN]]+Tabla1[[#This Row],[SALARIO NP]]+Tabla1[[#This Row],[AFP EMPLEADO]]+Tabla1[[#This Row],[AFP EMPLEADOR]]</f>
        <v>1931500</v>
      </c>
      <c r="M16" s="5">
        <f>+Tabla1[[#This Row],[SALARIO PN]]-Tabla1[[#This Row],[AFP EMPLEADO]]+Tabla1[[#This Row],[SALARIO NP]]</f>
        <v>1600000</v>
      </c>
      <c r="N16" s="5"/>
      <c r="O16" s="5"/>
      <c r="P16" s="5"/>
      <c r="Q16" s="5"/>
      <c r="R16" s="5"/>
      <c r="S16" s="5"/>
    </row>
    <row r="17" spans="4:19" x14ac:dyDescent="0.25">
      <c r="D17" s="4">
        <v>3</v>
      </c>
      <c r="E17" s="8">
        <v>45446</v>
      </c>
      <c r="F17" s="4" t="s">
        <v>5</v>
      </c>
      <c r="G17" s="1">
        <v>1073697673</v>
      </c>
      <c r="H17" s="5">
        <v>1300000</v>
      </c>
      <c r="I17" s="5">
        <v>300000</v>
      </c>
      <c r="J17" s="5">
        <v>0</v>
      </c>
      <c r="K17" s="5">
        <f>+(Tabla1[[#This Row],[SALARIO PN]]*0.255)</f>
        <v>331500</v>
      </c>
      <c r="L17" s="6">
        <f>+Tabla1[[#This Row],[SALARIO PN]]+Tabla1[[#This Row],[SALARIO NP]]+Tabla1[[#This Row],[AFP EMPLEADO]]+Tabla1[[#This Row],[AFP EMPLEADOR]]</f>
        <v>1931500</v>
      </c>
      <c r="M17" s="5">
        <f>+Tabla1[[#This Row],[SALARIO PN]]-Tabla1[[#This Row],[AFP EMPLEADO]]+Tabla1[[#This Row],[SALARIO NP]]</f>
        <v>1600000</v>
      </c>
      <c r="N17" s="5"/>
      <c r="O17" s="5"/>
      <c r="P17" s="5"/>
      <c r="Q17" s="5"/>
      <c r="R17" s="5"/>
      <c r="S17" s="5"/>
    </row>
    <row r="18" spans="4:19" x14ac:dyDescent="0.25">
      <c r="D18" s="4">
        <v>4</v>
      </c>
      <c r="E18" s="8">
        <v>45478</v>
      </c>
      <c r="F18" s="4" t="s">
        <v>6</v>
      </c>
      <c r="G18" s="1">
        <v>1000968990</v>
      </c>
      <c r="H18" s="5">
        <v>1300000</v>
      </c>
      <c r="I18" s="5">
        <v>300000</v>
      </c>
      <c r="J18" s="5">
        <v>0</v>
      </c>
      <c r="K18" s="5">
        <f>+(Tabla1[[#This Row],[SALARIO PN]]*0.255)</f>
        <v>331500</v>
      </c>
      <c r="L18" s="6">
        <f>+Tabla1[[#This Row],[SALARIO PN]]+Tabla1[[#This Row],[SALARIO NP]]+Tabla1[[#This Row],[AFP EMPLEADO]]+Tabla1[[#This Row],[AFP EMPLEADOR]]</f>
        <v>1931500</v>
      </c>
      <c r="M18" s="5">
        <f>+Tabla1[[#This Row],[SALARIO PN]]-Tabla1[[#This Row],[AFP EMPLEADO]]+Tabla1[[#This Row],[SALARIO NP]]</f>
        <v>1600000</v>
      </c>
      <c r="N18" s="5"/>
      <c r="O18" s="5"/>
      <c r="P18" s="5"/>
      <c r="Q18" s="5"/>
      <c r="R18" s="5"/>
      <c r="S18" s="5"/>
    </row>
    <row r="19" spans="4:19" x14ac:dyDescent="0.25">
      <c r="D19" s="4">
        <v>5</v>
      </c>
      <c r="E19" s="8">
        <v>45511</v>
      </c>
      <c r="F19" s="4" t="s">
        <v>7</v>
      </c>
      <c r="G19" s="1">
        <v>1000951615</v>
      </c>
      <c r="H19" s="5">
        <v>1300000</v>
      </c>
      <c r="I19" s="5">
        <v>300000</v>
      </c>
      <c r="J19" s="5">
        <v>0</v>
      </c>
      <c r="K19" s="5">
        <f>+(Tabla1[[#This Row],[SALARIO PN]]*0.255)</f>
        <v>331500</v>
      </c>
      <c r="L19" s="6">
        <f>+Tabla1[[#This Row],[SALARIO PN]]+Tabla1[[#This Row],[SALARIO NP]]+Tabla1[[#This Row],[AFP EMPLEADO]]+Tabla1[[#This Row],[AFP EMPLEADOR]]</f>
        <v>1931500</v>
      </c>
      <c r="M19" s="5">
        <f>+Tabla1[[#This Row],[SALARIO PN]]-Tabla1[[#This Row],[AFP EMPLEADO]]+Tabla1[[#This Row],[SALARIO NP]]</f>
        <v>1600000</v>
      </c>
      <c r="N19" s="5"/>
      <c r="O19" s="5"/>
      <c r="P19" s="5"/>
      <c r="Q19" s="5"/>
      <c r="R19" s="5"/>
      <c r="S19" s="5"/>
    </row>
    <row r="20" spans="4:19" x14ac:dyDescent="0.25">
      <c r="D20" s="4"/>
      <c r="E20" s="8"/>
      <c r="F20" s="4"/>
      <c r="H20" s="5"/>
      <c r="I20" s="5"/>
      <c r="J20" s="5"/>
      <c r="K20" s="5"/>
      <c r="L20" s="6"/>
      <c r="M20" s="5"/>
    </row>
    <row r="21" spans="4:19" x14ac:dyDescent="0.25">
      <c r="D21" s="4"/>
      <c r="E21" s="8"/>
      <c r="F21" s="4"/>
      <c r="H21" s="5"/>
      <c r="I21" s="5"/>
      <c r="J21" s="5"/>
      <c r="K21" s="5"/>
      <c r="L21" s="6"/>
      <c r="M21" s="5"/>
    </row>
    <row r="22" spans="4:19" x14ac:dyDescent="0.25">
      <c r="D22" s="18" t="s">
        <v>27</v>
      </c>
      <c r="E22" s="20">
        <f ca="1">+YEAR(E23)</f>
        <v>2024</v>
      </c>
      <c r="F22" s="4"/>
      <c r="H22" s="5"/>
      <c r="I22" s="5"/>
      <c r="J22" s="5"/>
      <c r="K22" s="5"/>
      <c r="L22" s="6"/>
      <c r="M22" s="5"/>
    </row>
    <row r="23" spans="4:19" x14ac:dyDescent="0.25">
      <c r="D23" s="18" t="s">
        <v>26</v>
      </c>
      <c r="E23" s="19">
        <f ca="1">+TODAY()</f>
        <v>45574</v>
      </c>
      <c r="F23" s="4"/>
      <c r="H23" s="5"/>
      <c r="I23" s="5"/>
      <c r="J23" s="5"/>
      <c r="K23" s="5"/>
      <c r="L23" s="6"/>
      <c r="M23" s="5"/>
    </row>
    <row r="24" spans="4:19" x14ac:dyDescent="0.25">
      <c r="D24" s="4"/>
      <c r="E24" s="8"/>
      <c r="F24" s="4"/>
      <c r="H24" s="5"/>
      <c r="I24" s="5"/>
      <c r="J24" s="5"/>
      <c r="K24" s="5"/>
      <c r="L24" s="6"/>
      <c r="M24" s="5"/>
    </row>
    <row r="25" spans="4:19" x14ac:dyDescent="0.25">
      <c r="D25" s="63" t="s">
        <v>32</v>
      </c>
      <c r="E25" s="64"/>
      <c r="F25" s="64"/>
      <c r="G25" s="64"/>
      <c r="H25" s="64"/>
      <c r="I25" s="64"/>
      <c r="J25" s="5"/>
      <c r="K25" s="5"/>
      <c r="L25" s="6"/>
      <c r="M25" s="5"/>
    </row>
    <row r="26" spans="4:19" x14ac:dyDescent="0.25">
      <c r="D26" s="14" t="s">
        <v>2</v>
      </c>
      <c r="E26" s="14" t="s">
        <v>0</v>
      </c>
      <c r="F26" s="14" t="s">
        <v>33</v>
      </c>
      <c r="G26" s="14" t="s">
        <v>35</v>
      </c>
      <c r="H26" s="14" t="s">
        <v>34</v>
      </c>
      <c r="I26" s="14" t="s">
        <v>36</v>
      </c>
      <c r="J26" s="6"/>
      <c r="K26" s="5"/>
    </row>
    <row r="27" spans="4:19" x14ac:dyDescent="0.25">
      <c r="D27" s="12">
        <v>1</v>
      </c>
      <c r="E27" s="12" t="s">
        <v>3</v>
      </c>
      <c r="F27" s="23">
        <f>+(VLOOKUP(Tabla3[[#This Row],[ID]],Tabla1[#All],10,0))/2</f>
        <v>1000000</v>
      </c>
      <c r="G27" s="27">
        <f ca="1">+SUMIFS(Tabla4[VALOR],Tabla4[NOMBRE EMPLEADO],Tabla3[[#This Row],[NOMBRE]],Tabla4[CICLO],1)</f>
        <v>1100001</v>
      </c>
      <c r="H27" s="49">
        <f>+(VLOOKUP(Tabla3[[#This Row],[ID]],Tabla1[#All],10,0))/2</f>
        <v>1000000</v>
      </c>
      <c r="I27" s="27">
        <f ca="1">+SUMIFS(Tabla4[VALOR],Tabla4[NOMBRE EMPLEADO],Tabla3[[#This Row],[NOMBRE]],Tabla4[CICLO],2,Tabla4[MES],MONTH($E$23))</f>
        <v>0</v>
      </c>
      <c r="J27" s="6"/>
      <c r="K27" s="5"/>
    </row>
    <row r="28" spans="4:19" x14ac:dyDescent="0.25">
      <c r="D28" s="12">
        <v>2</v>
      </c>
      <c r="E28" s="12" t="s">
        <v>4</v>
      </c>
      <c r="F28" s="23">
        <f>+(VLOOKUP(Tabla3[[#This Row],[ID]],Tabla1[#All],10,0))/2</f>
        <v>800000</v>
      </c>
      <c r="G28" s="27">
        <f>+SUMIFS(Tabla4[VALOR],Tabla4[NOMBRE EMPLEADO],Tabla3[[#This Row],[NOMBRE]],Tabla4[CICLO],1)</f>
        <v>3</v>
      </c>
      <c r="H28" s="23">
        <f>+(VLOOKUP(Tabla3[[#This Row],[ID]],Tabla1[#All],10,0))/2</f>
        <v>800000</v>
      </c>
      <c r="I28" s="27">
        <f ca="1">+SUMIFS(Tabla4[VALOR],Tabla4[NOMBRE EMPLEADO],Tabla3[[#This Row],[NOMBRE]],Tabla4[CICLO],2,Tabla4[MES],MONTH($E$23))</f>
        <v>0</v>
      </c>
      <c r="J28" s="6"/>
      <c r="K28" s="5"/>
    </row>
    <row r="29" spans="4:19" x14ac:dyDescent="0.25">
      <c r="D29" s="12">
        <v>3</v>
      </c>
      <c r="E29" s="12" t="s">
        <v>5</v>
      </c>
      <c r="F29" s="23">
        <f>+(VLOOKUP(Tabla3[[#This Row],[ID]],Tabla1[#All],10,0))/2</f>
        <v>800000</v>
      </c>
      <c r="G29" s="27">
        <f>+SUMIFS(Tabla4[VALOR],Tabla4[NOMBRE EMPLEADO],Tabla3[[#This Row],[NOMBRE]],Tabla4[CICLO],1)</f>
        <v>0</v>
      </c>
      <c r="H29" s="23">
        <f>+(VLOOKUP(Tabla3[[#This Row],[ID]],Tabla1[#All],10,0))/2</f>
        <v>800000</v>
      </c>
      <c r="I29" s="27">
        <f ca="1">+SUMIFS(Tabla4[VALOR],Tabla4[NOMBRE EMPLEADO],Tabla3[[#This Row],[NOMBRE]],Tabla4[CICLO],2,Tabla4[MES],MONTH($E$23))</f>
        <v>0</v>
      </c>
      <c r="J29" s="6"/>
      <c r="K29" s="5"/>
    </row>
    <row r="30" spans="4:19" x14ac:dyDescent="0.25">
      <c r="D30" s="12">
        <v>4</v>
      </c>
      <c r="E30" s="12" t="s">
        <v>6</v>
      </c>
      <c r="F30" s="23">
        <f>+(VLOOKUP(Tabla3[[#This Row],[ID]],Tabla1[#All],10,0))/2</f>
        <v>800000</v>
      </c>
      <c r="G30" s="27">
        <f>+SUMIFS(Tabla4[VALOR],Tabla4[NOMBRE EMPLEADO],Tabla3[[#This Row],[NOMBRE]],Tabla4[CICLO],1)</f>
        <v>0</v>
      </c>
      <c r="H30" s="23">
        <f>+(VLOOKUP(Tabla3[[#This Row],[ID]],Tabla1[#All],10,0))/2</f>
        <v>800000</v>
      </c>
      <c r="I30" s="27">
        <f ca="1">+SUMIFS(Tabla4[VALOR],Tabla4[NOMBRE EMPLEADO],Tabla3[[#This Row],[NOMBRE]],Tabla4[CICLO],2,Tabla4[MES],MONTH($E$23))</f>
        <v>0</v>
      </c>
      <c r="J30" s="6"/>
      <c r="K30" s="5"/>
    </row>
    <row r="31" spans="4:19" x14ac:dyDescent="0.25">
      <c r="D31" s="12">
        <v>5</v>
      </c>
      <c r="E31" s="12" t="s">
        <v>7</v>
      </c>
      <c r="F31" s="23">
        <f>+(VLOOKUP(Tabla3[[#This Row],[ID]],Tabla1[#All],10,0))/2</f>
        <v>800000</v>
      </c>
      <c r="G31" s="27">
        <f>+SUMIFS(Tabla4[VALOR],Tabla4[NOMBRE EMPLEADO],Tabla3[[#This Row],[NOMBRE]],Tabla4[CICLO],1)</f>
        <v>0</v>
      </c>
      <c r="H31" s="32">
        <f>+(VLOOKUP(Tabla3[[#This Row],[ID]],Tabla1[#All],10,0))/2</f>
        <v>800000</v>
      </c>
      <c r="I31" s="27">
        <f ca="1">+SUMIFS(Tabla4[VALOR],Tabla4[NOMBRE EMPLEADO],Tabla3[[#This Row],[NOMBRE]],Tabla4[CICLO],2,Tabla4[MES],MONTH($E$23))</f>
        <v>0</v>
      </c>
      <c r="J31" s="6"/>
      <c r="K31" s="5"/>
    </row>
    <row r="32" spans="4:19" x14ac:dyDescent="0.25">
      <c r="D32" s="4"/>
      <c r="E32" s="8"/>
      <c r="F32" s="4"/>
      <c r="H32" s="5"/>
      <c r="I32" s="5"/>
      <c r="J32" s="5"/>
      <c r="K32" s="5"/>
      <c r="L32" s="6"/>
      <c r="M32" s="5"/>
    </row>
    <row r="33" spans="4:13" x14ac:dyDescent="0.25">
      <c r="H33" s="5"/>
      <c r="I33" s="5"/>
      <c r="J33" s="5"/>
      <c r="K33" s="5"/>
      <c r="L33" s="6"/>
      <c r="M33" s="5"/>
    </row>
    <row r="34" spans="4:13" x14ac:dyDescent="0.25">
      <c r="H34" s="7"/>
      <c r="I34" s="7"/>
    </row>
    <row r="35" spans="4:13" x14ac:dyDescent="0.25">
      <c r="D35" s="63" t="s">
        <v>22</v>
      </c>
      <c r="E35" s="64"/>
      <c r="F35" s="64"/>
      <c r="G35" s="64"/>
      <c r="H35" s="64"/>
      <c r="I35" s="64"/>
    </row>
    <row r="36" spans="4:13" x14ac:dyDescent="0.25">
      <c r="D36" s="14" t="s">
        <v>2</v>
      </c>
      <c r="E36" s="2" t="s">
        <v>11</v>
      </c>
      <c r="F36" s="14" t="s">
        <v>0</v>
      </c>
      <c r="G36" s="14" t="s">
        <v>23</v>
      </c>
      <c r="H36" s="14" t="s">
        <v>24</v>
      </c>
      <c r="I36" s="14" t="s">
        <v>25</v>
      </c>
    </row>
    <row r="37" spans="4:13" x14ac:dyDescent="0.25">
      <c r="D37" s="12">
        <v>1</v>
      </c>
      <c r="E37" s="8">
        <v>45292</v>
      </c>
      <c r="F37" s="16" t="s">
        <v>3</v>
      </c>
      <c r="G37" s="17">
        <f ca="1">((($E$23-Tabla2[[#This Row],[INCORPORACION]])/30)/12)*15</f>
        <v>11.75</v>
      </c>
      <c r="H37" s="23">
        <f>+SUMIF(Tabla5[EMPLEADO],Tabla2[[#This Row],[NOMBRE]],Tabla5[DIAS SOLICITADOS])</f>
        <v>0</v>
      </c>
      <c r="I37" s="22">
        <f ca="1">+Tabla2[[#This Row],[ACUMULADOS]]-Tabla2[[#This Row],[GASTADOS]]</f>
        <v>11.75</v>
      </c>
      <c r="J37" s="7"/>
      <c r="K37" s="7"/>
    </row>
    <row r="38" spans="4:13" x14ac:dyDescent="0.25">
      <c r="D38" s="12">
        <v>2</v>
      </c>
      <c r="E38" s="8">
        <v>45353</v>
      </c>
      <c r="F38" s="12" t="s">
        <v>4</v>
      </c>
      <c r="G38" s="17">
        <f ca="1">((($E$23-Tabla2[[#This Row],[INCORPORACION]])/30)/12)*15</f>
        <v>9.2083333333333321</v>
      </c>
      <c r="H38" s="23">
        <f>+SUMIF(Tabla5[EMPLEADO],Tabla2[[#This Row],[NOMBRE]],Tabla5[DIAS SOLICITADOS])</f>
        <v>0</v>
      </c>
      <c r="I38" s="22">
        <f ca="1">+Tabla2[[#This Row],[ACUMULADOS]]-Tabla2[[#This Row],[GASTADOS]]</f>
        <v>9.2083333333333321</v>
      </c>
      <c r="J38" s="7"/>
      <c r="K38" s="6"/>
    </row>
    <row r="39" spans="4:13" x14ac:dyDescent="0.25">
      <c r="D39" s="12">
        <v>3</v>
      </c>
      <c r="E39" s="8">
        <v>45446</v>
      </c>
      <c r="F39" s="12" t="s">
        <v>5</v>
      </c>
      <c r="G39" s="17">
        <f ca="1">((($E$23-Tabla2[[#This Row],[INCORPORACION]])/30)/12)*15</f>
        <v>5.3333333333333339</v>
      </c>
      <c r="H39" s="23">
        <f>+SUMIF(Tabla5[EMPLEADO],Tabla2[[#This Row],[NOMBRE]],Tabla5[DIAS SOLICITADOS])</f>
        <v>0</v>
      </c>
      <c r="I39" s="22">
        <f ca="1">+Tabla2[[#This Row],[ACUMULADOS]]-Tabla2[[#This Row],[GASTADOS]]</f>
        <v>5.3333333333333339</v>
      </c>
      <c r="J39" s="7"/>
      <c r="K39" s="9"/>
    </row>
    <row r="40" spans="4:13" x14ac:dyDescent="0.25">
      <c r="D40" s="12">
        <v>4</v>
      </c>
      <c r="E40" s="8">
        <v>45478</v>
      </c>
      <c r="F40" s="12" t="s">
        <v>6</v>
      </c>
      <c r="G40" s="17">
        <f ca="1">((($E$23-Tabla2[[#This Row],[INCORPORACION]])/30)/12)*15</f>
        <v>4</v>
      </c>
      <c r="H40" s="23">
        <f>+SUMIF(Tabla5[EMPLEADO],Tabla2[[#This Row],[NOMBRE]],Tabla5[DIAS SOLICITADOS])</f>
        <v>0</v>
      </c>
      <c r="I40" s="22">
        <f ca="1">+Tabla2[[#This Row],[ACUMULADOS]]-Tabla2[[#This Row],[GASTADOS]]</f>
        <v>4</v>
      </c>
      <c r="J40" s="7"/>
      <c r="K40" s="6"/>
    </row>
    <row r="41" spans="4:13" x14ac:dyDescent="0.25">
      <c r="D41" s="15">
        <v>5</v>
      </c>
      <c r="E41" s="8">
        <v>45511</v>
      </c>
      <c r="F41" s="15" t="s">
        <v>7</v>
      </c>
      <c r="G41" s="17">
        <f ca="1">((($E$23-Tabla2[[#This Row],[INCORPORACION]])/30)/12)*15</f>
        <v>2.6250000000000004</v>
      </c>
      <c r="H41" s="32">
        <f>+SUMIF(Tabla5[EMPLEADO],Tabla2[[#This Row],[NOMBRE]],Tabla5[DIAS SOLICITADOS])</f>
        <v>0</v>
      </c>
      <c r="I41" s="22">
        <f ca="1">+Tabla2[[#This Row],[ACUMULADOS]]-Tabla2[[#This Row],[GASTADOS]]</f>
        <v>2.6250000000000004</v>
      </c>
      <c r="J41" s="7"/>
      <c r="K41" s="6"/>
    </row>
    <row r="42" spans="4:13" x14ac:dyDescent="0.25">
      <c r="F42" s="5"/>
      <c r="K42" s="6"/>
    </row>
    <row r="46" spans="4:13" x14ac:dyDescent="0.25">
      <c r="J46" s="20"/>
      <c r="K46" s="20"/>
      <c r="L46" s="20"/>
      <c r="M46" s="20"/>
    </row>
  </sheetData>
  <mergeCells count="9">
    <mergeCell ref="D25:I25"/>
    <mergeCell ref="D13:M13"/>
    <mergeCell ref="D35:I35"/>
    <mergeCell ref="F2:H2"/>
    <mergeCell ref="F3:H3"/>
    <mergeCell ref="F4:H4"/>
    <mergeCell ref="F5:H5"/>
    <mergeCell ref="N13:S13"/>
    <mergeCell ref="D8:I8"/>
  </mergeCells>
  <phoneticPr fontId="5" type="noConversion"/>
  <pageMargins left="0.7" right="0.7" top="0.75" bottom="0.75" header="0.3" footer="0.3"/>
  <pageSetup orientation="portrait" r:id="rId1"/>
  <ignoredErrors>
    <ignoredError sqref="K15:K18 F27" calculatedColumn="1"/>
  </ignoredErrors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715DF-3D0C-4A17-AF5B-A9ECC71C1D23}">
  <sheetPr codeName="Hoja4">
    <tabColor theme="0"/>
  </sheetPr>
  <dimension ref="D7:N13"/>
  <sheetViews>
    <sheetView zoomScale="98" zoomScaleNormal="98" workbookViewId="0">
      <selection activeCell="M10" sqref="M10"/>
    </sheetView>
  </sheetViews>
  <sheetFormatPr baseColWidth="10" defaultColWidth="11.5703125" defaultRowHeight="15" x14ac:dyDescent="0.25"/>
  <cols>
    <col min="1" max="3" width="11.5703125" style="21"/>
    <col min="4" max="4" width="8" style="21" bestFit="1" customWidth="1"/>
    <col min="5" max="6" width="16.140625" style="21" bestFit="1" customWidth="1"/>
    <col min="7" max="7" width="10" style="21" bestFit="1" customWidth="1"/>
    <col min="8" max="8" width="31.140625" style="21" bestFit="1" customWidth="1"/>
    <col min="9" max="9" width="11.42578125" style="21" customWidth="1"/>
    <col min="10" max="10" width="8.42578125" style="21" bestFit="1" customWidth="1"/>
    <col min="11" max="11" width="19.140625" style="21" bestFit="1" customWidth="1"/>
    <col min="12" max="16384" width="11.5703125" style="21"/>
  </cols>
  <sheetData>
    <row r="7" spans="4:14" x14ac:dyDescent="0.25">
      <c r="D7" s="64" t="s">
        <v>28</v>
      </c>
      <c r="E7" s="64"/>
      <c r="F7" s="64"/>
      <c r="G7" s="64"/>
      <c r="H7" s="64"/>
      <c r="I7" s="64"/>
      <c r="J7" s="64"/>
      <c r="K7" s="64"/>
      <c r="L7" s="64"/>
      <c r="M7" s="64"/>
      <c r="N7" s="64"/>
    </row>
    <row r="8" spans="4:14" x14ac:dyDescent="0.25">
      <c r="D8" s="24" t="s">
        <v>2</v>
      </c>
      <c r="E8" s="24" t="s">
        <v>30</v>
      </c>
      <c r="F8" s="24" t="s">
        <v>38</v>
      </c>
      <c r="G8" s="24" t="s">
        <v>26</v>
      </c>
      <c r="H8" s="24" t="s">
        <v>29</v>
      </c>
      <c r="I8" s="24" t="s">
        <v>31</v>
      </c>
      <c r="J8" s="24" t="s">
        <v>37</v>
      </c>
      <c r="K8" s="24" t="s">
        <v>39</v>
      </c>
      <c r="L8" s="24" t="s">
        <v>80</v>
      </c>
      <c r="M8" s="24" t="s">
        <v>100</v>
      </c>
      <c r="N8" s="24" t="s">
        <v>101</v>
      </c>
    </row>
    <row r="9" spans="4:14" x14ac:dyDescent="0.25">
      <c r="D9" s="21">
        <v>1</v>
      </c>
      <c r="E9" s="25">
        <f ca="1">+TODAY()</f>
        <v>45574</v>
      </c>
      <c r="F9" s="21">
        <f ca="1">+DAY(Tabla4[[#This Row],[FECHA]])</f>
        <v>9</v>
      </c>
      <c r="G9" s="21">
        <f ca="1">+MONTH(Tabla4[[#This Row],[FECHA]])</f>
        <v>10</v>
      </c>
      <c r="H9" s="4" t="s">
        <v>3</v>
      </c>
      <c r="I9" s="26">
        <v>0</v>
      </c>
      <c r="J9" s="21">
        <f ca="1">+IF(AND(Tabla4[[#This Row],[DIA]]&gt;=1,Tabla4[[#This Row],[DIA]]&lt;=15),1,2)</f>
        <v>1</v>
      </c>
      <c r="K9" s="58" t="s">
        <v>93</v>
      </c>
      <c r="L9" s="21">
        <f>+IFERROR(VLOOKUP(Tabla4[[#This Row],[NOMBRE EMPLEADO]],Tabla1[[NOMBRE]:[CEDULA]],2,0),"")</f>
        <v>1000139891</v>
      </c>
      <c r="M9" s="21">
        <v>2</v>
      </c>
      <c r="N9" s="21">
        <f>+IF(Tabla4[[#This Row],[cCUENTA]]=1,VLOOKUP(Tabla4[[#This Row],[NOMBRE EMPLEADO]],Tabla1[[#All],[NOMBRE]:[2CTA]],10,0),VLOOKUP(Tabla4[[#This Row],[NOMBRE EMPLEADO]],Tabla1[[#All],[NOMBRE]:[2CTA]],14,0))</f>
        <v>123456789</v>
      </c>
    </row>
    <row r="10" spans="4:14" x14ac:dyDescent="0.25">
      <c r="D10" s="21">
        <v>2</v>
      </c>
      <c r="E10" s="25">
        <v>45574.105636574073</v>
      </c>
      <c r="F10" s="70">
        <v>9</v>
      </c>
      <c r="G10" s="21">
        <v>10</v>
      </c>
      <c r="H10" s="4" t="s">
        <v>3</v>
      </c>
      <c r="I10" s="26">
        <v>1</v>
      </c>
      <c r="J10" s="21">
        <v>1</v>
      </c>
      <c r="K10" s="58" t="s">
        <v>102</v>
      </c>
      <c r="L10" s="70">
        <f>+IFERROR(VLOOKUP(Tabla4[[#This Row],[NOMBRE EMPLEADO]],Tabla1[[NOMBRE]:[CEDULA]],2,0),"")</f>
        <v>1000139891</v>
      </c>
      <c r="M10" s="21">
        <v>1</v>
      </c>
      <c r="N10" s="21">
        <f>+IF(Tabla4[[#This Row],[cCUENTA]]=1,VLOOKUP(Tabla4[[#This Row],[NOMBRE EMPLEADO]],Tabla1[[#All],[NOMBRE]:[2CTA]],10,0),VLOOKUP(Tabla4[[#This Row],[NOMBRE EMPLEADO]],Tabla1[[#All],[NOMBRE]:[2CTA]],14,0))</f>
        <v>39682296</v>
      </c>
    </row>
    <row r="11" spans="4:14" x14ac:dyDescent="0.25">
      <c r="D11" s="21">
        <v>3</v>
      </c>
      <c r="E11" s="25">
        <v>45574.105868055558</v>
      </c>
      <c r="F11" s="70">
        <v>9</v>
      </c>
      <c r="G11" s="21">
        <v>10</v>
      </c>
      <c r="H11" s="4" t="s">
        <v>4</v>
      </c>
      <c r="I11" s="26">
        <v>3</v>
      </c>
      <c r="J11" s="21">
        <v>1</v>
      </c>
      <c r="K11" s="58" t="s">
        <v>103</v>
      </c>
      <c r="L11" s="70">
        <f>+IFERROR(VLOOKUP(Tabla4[[#This Row],[NOMBRE EMPLEADO]],Tabla1[[NOMBRE]:[CEDULA]],2,0),"")</f>
        <v>52309351</v>
      </c>
      <c r="M11" s="21">
        <v>2</v>
      </c>
      <c r="N11" s="21">
        <f>+IF(Tabla4[[#This Row],[cCUENTA]]=1,VLOOKUP(Tabla4[[#This Row],[NOMBRE EMPLEADO]],Tabla1[[#All],[NOMBRE]:[2CTA]],10,0),VLOOKUP(Tabla4[[#This Row],[NOMBRE EMPLEADO]],Tabla1[[#All],[NOMBRE]:[2CTA]],14,0))</f>
        <v>0</v>
      </c>
    </row>
    <row r="12" spans="4:14" x14ac:dyDescent="0.25">
      <c r="D12" s="21">
        <v>4</v>
      </c>
      <c r="E12" s="25">
        <v>45574.112951388888</v>
      </c>
      <c r="F12" s="70">
        <v>9</v>
      </c>
      <c r="G12" s="21">
        <v>10</v>
      </c>
      <c r="H12" s="4" t="s">
        <v>3</v>
      </c>
      <c r="I12" s="26">
        <v>1000000</v>
      </c>
      <c r="J12" s="21">
        <v>1</v>
      </c>
      <c r="K12" s="58" t="s">
        <v>104</v>
      </c>
      <c r="L12" s="70">
        <f>+IFERROR(VLOOKUP(Tabla4[[#This Row],[NOMBRE EMPLEADO]],Tabla1[[NOMBRE]:[CEDULA]],2,0),"")</f>
        <v>1000139891</v>
      </c>
      <c r="M12" s="21">
        <v>1</v>
      </c>
      <c r="N12" s="70">
        <f>+IF(Tabla4[[#This Row],[cCUENTA]]=1,VLOOKUP(Tabla4[[#This Row],[NOMBRE EMPLEADO]],Tabla1[[#All],[NOMBRE]:[2CTA]],10,0),VLOOKUP(Tabla4[[#This Row],[NOMBRE EMPLEADO]],Tabla1[[#All],[NOMBRE]:[2CTA]],14,0))</f>
        <v>39682296</v>
      </c>
    </row>
    <row r="13" spans="4:14" x14ac:dyDescent="0.25">
      <c r="D13" s="21">
        <v>5</v>
      </c>
      <c r="E13" s="25">
        <v>45574.11310185185</v>
      </c>
      <c r="F13" s="70">
        <v>9</v>
      </c>
      <c r="G13" s="21">
        <v>10</v>
      </c>
      <c r="H13" s="4" t="s">
        <v>3</v>
      </c>
      <c r="I13" s="26">
        <v>100000</v>
      </c>
      <c r="J13" s="21">
        <v>1</v>
      </c>
      <c r="K13" s="58" t="s">
        <v>104</v>
      </c>
      <c r="L13" s="70">
        <f>+IFERROR(VLOOKUP(Tabla4[[#This Row],[NOMBRE EMPLEADO]],Tabla1[[NOMBRE]:[CEDULA]],2,0),"")</f>
        <v>1000139891</v>
      </c>
      <c r="M13" s="21">
        <v>2</v>
      </c>
      <c r="N13" s="70">
        <f>+IF(Tabla4[[#This Row],[cCUENTA]]=1,VLOOKUP(Tabla4[[#This Row],[NOMBRE EMPLEADO]],Tabla1[[#All],[NOMBRE]:[2CTA]],10,0),VLOOKUP(Tabla4[[#This Row],[NOMBRE EMPLEADO]],Tabla1[[#All],[NOMBRE]:[2CTA]],14,0))</f>
        <v>123456789</v>
      </c>
    </row>
  </sheetData>
  <mergeCells count="1">
    <mergeCell ref="D7:N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FEC78-9E4F-4EF4-B8D7-CB7A427C08C8}">
  <sheetPr codeName="Hoja2">
    <tabColor theme="5" tint="0.59999389629810485"/>
  </sheetPr>
  <dimension ref="D7:I9"/>
  <sheetViews>
    <sheetView workbookViewId="0">
      <selection activeCell="J16" sqref="J16"/>
    </sheetView>
  </sheetViews>
  <sheetFormatPr baseColWidth="10" defaultColWidth="11.5703125" defaultRowHeight="15" x14ac:dyDescent="0.25"/>
  <cols>
    <col min="1" max="2" width="11.5703125" style="21"/>
    <col min="3" max="3" width="13.28515625" style="21" customWidth="1"/>
    <col min="4" max="4" width="7.28515625" style="21" bestFit="1" customWidth="1"/>
    <col min="5" max="5" width="15" style="21" bestFit="1" customWidth="1"/>
    <col min="6" max="6" width="20.28515625" style="21" bestFit="1" customWidth="1"/>
    <col min="7" max="7" width="17.5703125" style="21" bestFit="1" customWidth="1"/>
    <col min="8" max="8" width="16.28515625" style="21" bestFit="1" customWidth="1"/>
    <col min="9" max="9" width="21.28515625" style="21" bestFit="1" customWidth="1"/>
    <col min="10" max="16384" width="11.5703125" style="21"/>
  </cols>
  <sheetData>
    <row r="7" spans="4:9" x14ac:dyDescent="0.25">
      <c r="D7" s="65" t="s">
        <v>41</v>
      </c>
      <c r="E7" s="65"/>
      <c r="F7" s="65"/>
      <c r="G7" s="65"/>
      <c r="H7" s="65"/>
      <c r="I7" s="65"/>
    </row>
    <row r="8" spans="4:9" x14ac:dyDescent="0.25">
      <c r="D8" s="2" t="s">
        <v>2</v>
      </c>
      <c r="E8" s="2" t="s">
        <v>42</v>
      </c>
      <c r="F8" s="2" t="s">
        <v>46</v>
      </c>
      <c r="G8" s="2" t="s">
        <v>43</v>
      </c>
      <c r="H8" s="2" t="s">
        <v>44</v>
      </c>
      <c r="I8" s="2" t="s">
        <v>45</v>
      </c>
    </row>
    <row r="9" spans="4:9" x14ac:dyDescent="0.25">
      <c r="D9" s="4">
        <v>1</v>
      </c>
      <c r="E9" s="4" t="s">
        <v>3</v>
      </c>
      <c r="F9" s="4" t="s">
        <v>94</v>
      </c>
      <c r="G9" s="4" t="s">
        <v>95</v>
      </c>
      <c r="H9" s="4" t="s">
        <v>96</v>
      </c>
      <c r="I9" s="4">
        <v>0</v>
      </c>
    </row>
  </sheetData>
  <mergeCells count="1">
    <mergeCell ref="D7:I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841DD-6D1D-4B73-A276-9B3B7FE67525}">
  <sheetPr codeName="Hoja5">
    <tabColor theme="0"/>
  </sheetPr>
  <dimension ref="D2:G9"/>
  <sheetViews>
    <sheetView zoomScale="90" zoomScaleNormal="90" workbookViewId="0">
      <selection activeCell="D20" sqref="D20"/>
    </sheetView>
  </sheetViews>
  <sheetFormatPr baseColWidth="10" defaultColWidth="11.5703125" defaultRowHeight="15" x14ac:dyDescent="0.25"/>
  <cols>
    <col min="1" max="3" width="11.5703125" style="21"/>
    <col min="4" max="4" width="89.42578125" style="21" bestFit="1" customWidth="1"/>
    <col min="5" max="5" width="57.28515625" style="21" bestFit="1" customWidth="1"/>
    <col min="6" max="6" width="16.28515625" style="21" bestFit="1" customWidth="1"/>
    <col min="7" max="7" width="21.140625" style="21" bestFit="1" customWidth="1"/>
    <col min="8" max="16384" width="11.5703125" style="21"/>
  </cols>
  <sheetData>
    <row r="2" spans="4:7" x14ac:dyDescent="0.25">
      <c r="D2" s="25"/>
    </row>
    <row r="7" spans="4:7" x14ac:dyDescent="0.25">
      <c r="D7" s="65" t="s">
        <v>51</v>
      </c>
      <c r="E7" s="65"/>
      <c r="F7" s="65"/>
      <c r="G7" s="65"/>
    </row>
    <row r="8" spans="4:7" x14ac:dyDescent="0.25">
      <c r="D8" s="2" t="s">
        <v>47</v>
      </c>
      <c r="E8" s="2" t="s">
        <v>48</v>
      </c>
      <c r="F8" s="2" t="s">
        <v>49</v>
      </c>
      <c r="G8" s="2" t="s">
        <v>50</v>
      </c>
    </row>
    <row r="9" spans="4:7" x14ac:dyDescent="0.25">
      <c r="D9" s="4" t="s">
        <v>97</v>
      </c>
      <c r="E9" s="4" t="s">
        <v>98</v>
      </c>
      <c r="F9" s="4" t="s">
        <v>99</v>
      </c>
      <c r="G9" s="59">
        <v>45574.082407407404</v>
      </c>
    </row>
  </sheetData>
  <mergeCells count="1">
    <mergeCell ref="D7:G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E4402-4448-4EF5-9E0A-50F430DA5378}">
  <sheetPr codeName="Hoja6">
    <tabColor theme="5" tint="0.59999389629810485"/>
    <pageSetUpPr fitToPage="1"/>
  </sheetPr>
  <dimension ref="A1:J31"/>
  <sheetViews>
    <sheetView view="pageLayout" topLeftCell="A7" zoomScale="85" zoomScaleNormal="70" zoomScaleSheetLayoutView="81" zoomScalePageLayoutView="85" workbookViewId="0">
      <selection activeCell="E15" sqref="E15"/>
    </sheetView>
  </sheetViews>
  <sheetFormatPr baseColWidth="10" defaultColWidth="11.5703125" defaultRowHeight="15" x14ac:dyDescent="0.25"/>
  <cols>
    <col min="1" max="1" width="39.85546875" bestFit="1" customWidth="1"/>
    <col min="2" max="2" width="34.140625" bestFit="1" customWidth="1"/>
    <col min="3" max="3" width="12.85546875" customWidth="1"/>
    <col min="4" max="4" width="18.5703125" bestFit="1" customWidth="1"/>
    <col min="5" max="5" width="12.85546875" bestFit="1" customWidth="1"/>
    <col min="6" max="6" width="8.7109375" bestFit="1" customWidth="1"/>
  </cols>
  <sheetData>
    <row r="1" spans="1:10" x14ac:dyDescent="0.25">
      <c r="A1" s="50"/>
      <c r="B1" s="50"/>
      <c r="C1" s="50"/>
      <c r="D1" s="50"/>
      <c r="E1" s="50"/>
      <c r="F1" s="50"/>
      <c r="G1" s="50"/>
      <c r="H1" s="50"/>
      <c r="I1" s="50"/>
      <c r="J1" s="50"/>
    </row>
    <row r="2" spans="1:10" x14ac:dyDescent="0.25">
      <c r="A2" s="50"/>
      <c r="B2" s="50"/>
      <c r="C2" s="50"/>
      <c r="D2" s="50"/>
      <c r="E2" s="50"/>
      <c r="F2" s="50"/>
      <c r="G2" s="50"/>
      <c r="H2" s="50"/>
      <c r="I2" s="50"/>
      <c r="J2" s="50"/>
    </row>
    <row r="3" spans="1:10" x14ac:dyDescent="0.25">
      <c r="A3" s="50"/>
      <c r="B3" s="50"/>
      <c r="C3" s="50"/>
      <c r="D3" s="50"/>
      <c r="E3" s="50"/>
      <c r="F3" s="50"/>
      <c r="G3" s="50"/>
      <c r="H3" s="50"/>
      <c r="I3" s="50"/>
      <c r="J3" s="50"/>
    </row>
    <row r="4" spans="1:10" x14ac:dyDescent="0.25">
      <c r="A4" s="50"/>
      <c r="B4" s="50"/>
      <c r="C4" s="50"/>
      <c r="D4" s="50"/>
      <c r="E4" s="50"/>
      <c r="F4" s="50"/>
      <c r="G4" s="50"/>
      <c r="H4" s="50"/>
      <c r="I4" s="50"/>
      <c r="J4" s="50"/>
    </row>
    <row r="5" spans="1:10" x14ac:dyDescent="0.25">
      <c r="A5" s="50"/>
      <c r="B5" s="53" t="s">
        <v>67</v>
      </c>
      <c r="C5" s="50"/>
      <c r="D5" s="50"/>
      <c r="E5" s="51" t="s">
        <v>75</v>
      </c>
      <c r="F5" s="50"/>
      <c r="G5" s="50"/>
      <c r="H5" s="50"/>
      <c r="I5" s="50"/>
      <c r="J5" s="50"/>
    </row>
    <row r="6" spans="1:10" x14ac:dyDescent="0.25">
      <c r="A6" s="50"/>
      <c r="B6" s="53" t="s">
        <v>68</v>
      </c>
      <c r="C6" s="50"/>
      <c r="D6" s="50"/>
      <c r="E6" s="50"/>
      <c r="F6" s="50"/>
      <c r="G6" s="50"/>
      <c r="H6" s="50"/>
      <c r="I6" s="50"/>
      <c r="J6" s="50"/>
    </row>
    <row r="7" spans="1:10" x14ac:dyDescent="0.25">
      <c r="A7" s="50"/>
      <c r="B7" s="53" t="s">
        <v>69</v>
      </c>
      <c r="C7" s="50"/>
      <c r="D7" s="50"/>
      <c r="E7" s="50"/>
      <c r="F7" s="50"/>
      <c r="G7" s="50"/>
      <c r="H7" s="50"/>
      <c r="I7" s="50"/>
      <c r="J7" s="50"/>
    </row>
    <row r="8" spans="1:10" x14ac:dyDescent="0.25">
      <c r="A8" s="50"/>
      <c r="B8" s="53" t="s">
        <v>71</v>
      </c>
      <c r="C8" s="50"/>
      <c r="D8" s="50"/>
      <c r="E8" s="50"/>
      <c r="F8" s="50"/>
      <c r="G8" s="50"/>
      <c r="H8" s="50"/>
      <c r="I8" s="50"/>
      <c r="J8" s="50"/>
    </row>
    <row r="9" spans="1:10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</row>
    <row r="10" spans="1:10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</row>
    <row r="11" spans="1:10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</row>
    <row r="12" spans="1:10" x14ac:dyDescent="0.25">
      <c r="A12" s="57" t="s">
        <v>65</v>
      </c>
      <c r="B12" s="57" t="s">
        <v>90</v>
      </c>
      <c r="C12" s="50"/>
      <c r="D12" s="50"/>
      <c r="E12" s="50"/>
      <c r="F12" s="50"/>
      <c r="G12" s="50"/>
      <c r="H12" s="50"/>
      <c r="I12" s="50"/>
      <c r="J12" s="50"/>
    </row>
    <row r="13" spans="1:10" x14ac:dyDescent="0.25">
      <c r="A13" s="57" t="s">
        <v>66</v>
      </c>
      <c r="B13" s="57" t="s">
        <v>91</v>
      </c>
      <c r="C13" s="50"/>
      <c r="D13" s="50"/>
      <c r="E13" s="50"/>
      <c r="F13" s="50"/>
      <c r="G13" s="50"/>
      <c r="H13" s="50"/>
      <c r="I13" s="50"/>
      <c r="J13" s="50"/>
    </row>
    <row r="14" spans="1:10" x14ac:dyDescent="0.25">
      <c r="A14" s="57" t="s">
        <v>58</v>
      </c>
      <c r="B14" s="50"/>
      <c r="C14" s="50"/>
      <c r="D14" s="50"/>
      <c r="E14" s="50"/>
      <c r="F14" s="50"/>
      <c r="G14" s="50"/>
      <c r="H14" s="50"/>
      <c r="I14" s="50"/>
      <c r="J14" s="50"/>
    </row>
    <row r="15" spans="1:10" x14ac:dyDescent="0.25">
      <c r="A15" s="57" t="s">
        <v>59</v>
      </c>
      <c r="B15" s="50"/>
      <c r="C15" s="50"/>
      <c r="D15" s="50"/>
      <c r="E15" s="50"/>
      <c r="F15" s="50"/>
      <c r="G15" s="50"/>
      <c r="H15" s="50"/>
      <c r="I15" s="50"/>
      <c r="J15" s="50"/>
    </row>
    <row r="16" spans="1:10" x14ac:dyDescent="0.25">
      <c r="A16" s="57" t="s">
        <v>60</v>
      </c>
      <c r="B16" s="50"/>
      <c r="C16" s="50"/>
      <c r="D16" s="50"/>
      <c r="E16" s="50"/>
      <c r="F16" s="50"/>
      <c r="G16" s="50"/>
      <c r="H16" s="50"/>
      <c r="I16" s="50"/>
      <c r="J16" s="50"/>
    </row>
    <row r="17" spans="1:10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</row>
    <row r="18" spans="1:10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</row>
    <row r="19" spans="1:10" x14ac:dyDescent="0.25">
      <c r="A19" s="54" t="s">
        <v>72</v>
      </c>
      <c r="B19" s="54" t="s">
        <v>73</v>
      </c>
      <c r="C19" s="54" t="s">
        <v>31</v>
      </c>
      <c r="D19" s="52" t="s">
        <v>74</v>
      </c>
      <c r="E19" s="54" t="s">
        <v>31</v>
      </c>
      <c r="F19" s="50"/>
      <c r="G19" s="50"/>
      <c r="H19" s="50"/>
      <c r="I19" s="50"/>
      <c r="J19" s="50"/>
    </row>
    <row r="20" spans="1:10" x14ac:dyDescent="0.25">
      <c r="A20" s="55" t="s">
        <v>61</v>
      </c>
      <c r="B20" s="55">
        <v>1</v>
      </c>
      <c r="C20" s="56">
        <v>1300000</v>
      </c>
      <c r="D20" s="55" t="s">
        <v>53</v>
      </c>
      <c r="E20" s="56">
        <v>52000</v>
      </c>
      <c r="F20" s="50"/>
      <c r="G20" s="50"/>
      <c r="H20" s="50"/>
      <c r="I20" s="50"/>
      <c r="J20" s="50"/>
    </row>
    <row r="21" spans="1:10" x14ac:dyDescent="0.25">
      <c r="A21" s="55" t="s">
        <v>62</v>
      </c>
      <c r="B21" s="55">
        <v>1</v>
      </c>
      <c r="C21" s="56">
        <v>300000</v>
      </c>
      <c r="D21" s="55" t="s">
        <v>52</v>
      </c>
      <c r="E21" s="56">
        <v>52000</v>
      </c>
      <c r="F21" s="50"/>
      <c r="G21" s="50"/>
      <c r="H21" s="50"/>
      <c r="I21" s="50"/>
      <c r="J21" s="50"/>
    </row>
    <row r="22" spans="1:10" x14ac:dyDescent="0.25">
      <c r="A22" s="50"/>
      <c r="B22" s="50"/>
      <c r="C22" s="50"/>
      <c r="D22" s="55" t="s">
        <v>63</v>
      </c>
      <c r="E22" s="56">
        <v>0</v>
      </c>
      <c r="F22" s="50"/>
      <c r="G22" s="50"/>
      <c r="H22" s="50"/>
      <c r="I22" s="50"/>
      <c r="J22" s="50"/>
    </row>
    <row r="23" spans="1:10" x14ac:dyDescent="0.25">
      <c r="A23" s="50"/>
      <c r="B23" s="50"/>
      <c r="C23" s="50"/>
      <c r="D23" s="55" t="s">
        <v>64</v>
      </c>
      <c r="E23" s="56">
        <v>0</v>
      </c>
      <c r="F23" s="50"/>
      <c r="G23" s="50"/>
      <c r="H23" s="50"/>
      <c r="I23" s="50"/>
      <c r="J23" s="50"/>
    </row>
    <row r="24" spans="1:10" ht="22.9" customHeight="1" x14ac:dyDescent="0.25">
      <c r="A24" s="50"/>
      <c r="B24" s="50"/>
      <c r="C24" s="50"/>
      <c r="D24" s="50"/>
      <c r="E24" s="50"/>
      <c r="F24" s="50"/>
      <c r="G24" s="50"/>
      <c r="H24" s="50"/>
      <c r="I24" s="50"/>
      <c r="J24" s="50"/>
    </row>
    <row r="25" spans="1:10" x14ac:dyDescent="0.25">
      <c r="A25" s="50"/>
      <c r="B25" s="50"/>
      <c r="C25" s="50"/>
      <c r="D25" s="50"/>
      <c r="E25" s="50"/>
      <c r="F25" s="50"/>
      <c r="G25" s="50"/>
      <c r="H25" s="50"/>
      <c r="I25" s="50"/>
      <c r="J25" s="50"/>
    </row>
    <row r="26" spans="1:10" x14ac:dyDescent="0.25">
      <c r="A26" s="50"/>
      <c r="B26" s="54" t="s">
        <v>70</v>
      </c>
      <c r="C26" s="56">
        <v>1600000</v>
      </c>
      <c r="D26" s="54" t="s">
        <v>70</v>
      </c>
      <c r="E26" s="56">
        <v>104000</v>
      </c>
      <c r="F26" s="50"/>
      <c r="G26" s="50"/>
      <c r="H26" s="50"/>
      <c r="I26" s="50"/>
      <c r="J26" s="50"/>
    </row>
    <row r="27" spans="1:10" x14ac:dyDescent="0.25">
      <c r="A27" s="50"/>
      <c r="B27" s="50"/>
      <c r="C27" s="50"/>
      <c r="D27" s="54" t="s">
        <v>70</v>
      </c>
      <c r="E27" s="56">
        <v>1496000</v>
      </c>
      <c r="F27" s="50"/>
      <c r="G27" s="50"/>
      <c r="H27" s="50"/>
      <c r="I27" s="50"/>
      <c r="J27" s="50"/>
    </row>
    <row r="28" spans="1:10" x14ac:dyDescent="0.25">
      <c r="A28" s="50"/>
      <c r="B28" s="50"/>
      <c r="C28" s="50"/>
      <c r="D28" s="50"/>
      <c r="E28" s="50"/>
      <c r="F28" s="50"/>
      <c r="G28" s="50"/>
      <c r="H28" s="50"/>
      <c r="I28" s="50"/>
      <c r="J28" s="50"/>
    </row>
    <row r="29" spans="1:10" x14ac:dyDescent="0.25">
      <c r="A29" s="50"/>
      <c r="B29" s="50"/>
      <c r="C29" s="50"/>
      <c r="D29" s="50"/>
      <c r="E29" s="50"/>
      <c r="F29" s="50"/>
      <c r="G29" s="50"/>
      <c r="H29" s="50"/>
      <c r="I29" s="50"/>
      <c r="J29" s="50"/>
    </row>
    <row r="30" spans="1:10" x14ac:dyDescent="0.25">
      <c r="A30" s="50"/>
      <c r="B30" s="50"/>
      <c r="C30" s="50"/>
      <c r="D30" s="50"/>
      <c r="E30" s="50"/>
      <c r="F30" s="50"/>
      <c r="G30" s="50"/>
      <c r="H30" s="50"/>
      <c r="I30" s="50"/>
      <c r="J30" s="50"/>
    </row>
    <row r="31" spans="1:10" x14ac:dyDescent="0.25">
      <c r="A31" s="50"/>
      <c r="B31" s="50"/>
      <c r="C31" s="50"/>
      <c r="D31" s="50"/>
      <c r="E31" s="50"/>
      <c r="F31" s="50"/>
      <c r="G31" s="50"/>
      <c r="H31" s="50"/>
      <c r="I31" s="50"/>
      <c r="J31" s="50"/>
    </row>
  </sheetData>
  <printOptions horizontalCentered="1"/>
  <pageMargins left="0.23622047244094491" right="0.23622047244094491" top="0.74803149606299213" bottom="0.74803149606299213" header="0.31496062992125984" footer="0.31496062992125984"/>
  <pageSetup scale="5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65976-2A60-4447-AA1A-719F33E59D8A}">
  <sheetPr codeName="Hoja7">
    <tabColor theme="0"/>
    <pageSetUpPr fitToPage="1"/>
  </sheetPr>
  <dimension ref="A1:G33"/>
  <sheetViews>
    <sheetView workbookViewId="0">
      <selection activeCell="F13" sqref="F13"/>
    </sheetView>
  </sheetViews>
  <sheetFormatPr baseColWidth="10" defaultRowHeight="15" x14ac:dyDescent="0.25"/>
  <cols>
    <col min="1" max="1" width="6.28515625" customWidth="1"/>
    <col min="2" max="2" width="32.42578125" bestFit="1" customWidth="1"/>
    <col min="3" max="3" width="17.42578125" bestFit="1" customWidth="1"/>
    <col min="4" max="4" width="32.42578125" bestFit="1" customWidth="1"/>
    <col min="5" max="5" width="20.140625" bestFit="1" customWidth="1"/>
    <col min="6" max="6" width="13.140625" bestFit="1" customWidth="1"/>
    <col min="11" max="11" width="26" bestFit="1" customWidth="1"/>
    <col min="12" max="12" width="21.28515625" bestFit="1" customWidth="1"/>
    <col min="13" max="13" width="26" bestFit="1" customWidth="1"/>
    <col min="14" max="14" width="7.42578125" bestFit="1" customWidth="1"/>
    <col min="15" max="15" width="17.7109375" bestFit="1" customWidth="1"/>
  </cols>
  <sheetData>
    <row r="1" spans="1:7" x14ac:dyDescent="0.25">
      <c r="A1" s="21"/>
      <c r="B1" s="21"/>
      <c r="C1" s="21"/>
      <c r="D1" s="21"/>
      <c r="E1" s="21"/>
      <c r="F1" s="21"/>
      <c r="G1" s="21"/>
    </row>
    <row r="2" spans="1:7" x14ac:dyDescent="0.25">
      <c r="A2" s="21"/>
      <c r="B2" s="21"/>
      <c r="C2" s="21"/>
      <c r="D2" s="21"/>
      <c r="E2" s="21"/>
      <c r="F2" s="21"/>
      <c r="G2" s="21"/>
    </row>
    <row r="3" spans="1:7" x14ac:dyDescent="0.25">
      <c r="A3" s="21"/>
      <c r="B3" s="21"/>
      <c r="C3" s="21"/>
      <c r="D3" s="21"/>
      <c r="E3" s="21"/>
      <c r="F3" s="40" t="s">
        <v>76</v>
      </c>
      <c r="G3" s="21"/>
    </row>
    <row r="4" spans="1:7" x14ac:dyDescent="0.25">
      <c r="A4" s="21"/>
      <c r="B4" s="21"/>
      <c r="C4" s="66" t="s">
        <v>67</v>
      </c>
      <c r="D4" s="66"/>
      <c r="E4" s="21"/>
      <c r="F4" s="21"/>
      <c r="G4" s="21"/>
    </row>
    <row r="5" spans="1:7" x14ac:dyDescent="0.25">
      <c r="A5" s="21"/>
      <c r="B5" s="21"/>
      <c r="C5" s="66" t="s">
        <v>68</v>
      </c>
      <c r="D5" s="66"/>
      <c r="E5" s="21"/>
      <c r="F5" s="21"/>
      <c r="G5" s="21"/>
    </row>
    <row r="6" spans="1:7" x14ac:dyDescent="0.25">
      <c r="A6" s="21"/>
      <c r="B6" s="21"/>
      <c r="C6" s="66" t="s">
        <v>69</v>
      </c>
      <c r="D6" s="66"/>
      <c r="E6" s="21"/>
      <c r="F6" s="21"/>
      <c r="G6" s="21"/>
    </row>
    <row r="7" spans="1:7" x14ac:dyDescent="0.25">
      <c r="A7" s="21"/>
      <c r="B7" s="21"/>
      <c r="C7" s="66" t="s">
        <v>77</v>
      </c>
      <c r="D7" s="66"/>
      <c r="E7" s="21"/>
      <c r="F7" s="21"/>
      <c r="G7" s="21"/>
    </row>
    <row r="8" spans="1:7" x14ac:dyDescent="0.25">
      <c r="A8" s="21"/>
      <c r="B8" s="21"/>
      <c r="C8" s="21"/>
      <c r="D8" s="21"/>
      <c r="E8" s="21"/>
      <c r="F8" s="21"/>
      <c r="G8" s="21"/>
    </row>
    <row r="9" spans="1:7" x14ac:dyDescent="0.25">
      <c r="A9" s="21"/>
      <c r="B9" s="21"/>
      <c r="C9" s="21"/>
      <c r="D9" s="21"/>
      <c r="E9" s="21"/>
      <c r="F9" s="21"/>
      <c r="G9" s="21"/>
    </row>
    <row r="10" spans="1:7" x14ac:dyDescent="0.25">
      <c r="A10" s="21"/>
      <c r="B10" s="21"/>
      <c r="C10" s="21"/>
      <c r="D10" s="21"/>
      <c r="E10" s="21"/>
      <c r="F10" s="21"/>
      <c r="G10" s="21"/>
    </row>
    <row r="11" spans="1:7" x14ac:dyDescent="0.25">
      <c r="A11" s="21"/>
      <c r="B11" s="21"/>
      <c r="C11" s="21"/>
      <c r="D11" s="21"/>
      <c r="E11" s="21"/>
      <c r="F11" s="21"/>
      <c r="G11" s="21"/>
    </row>
    <row r="12" spans="1:7" x14ac:dyDescent="0.25">
      <c r="A12" s="21"/>
      <c r="B12" s="33" t="s">
        <v>0</v>
      </c>
      <c r="C12" s="33" t="s">
        <v>79</v>
      </c>
      <c r="D12" s="33" t="s">
        <v>1</v>
      </c>
      <c r="E12" s="33" t="s">
        <v>107</v>
      </c>
      <c r="F12" s="33" t="s">
        <v>108</v>
      </c>
      <c r="G12" s="21"/>
    </row>
    <row r="13" spans="1:7" x14ac:dyDescent="0.25">
      <c r="A13" s="21"/>
      <c r="B13" s="38" t="s">
        <v>3</v>
      </c>
      <c r="C13" s="39" t="s">
        <v>106</v>
      </c>
      <c r="D13" s="33">
        <f>+VLOOKUP(B13,Tabla1[[#All],[NOMBRE]:[CEDULA]],2,0)</f>
        <v>1000139891</v>
      </c>
      <c r="E13" s="34" t="str">
        <f>+IF(E12="BANCO",VLOOKUP(B13,Tabla1[[#All],[NOMBRE]:[C_COMP]],9,0),"BANCO_SECUNDARIO")</f>
        <v>BANCO_SECUNDARIO</v>
      </c>
      <c r="F13" s="34">
        <f>+IF(F12="CUENTA",VLOOKUP(B13,Tabla1[[#All],[NOMBRE]:[C_COMP]],10,0),VLOOKUP(B13,Tabla1[[#All],[NOMBRE]:[2CTA]],14,0))</f>
        <v>123456789</v>
      </c>
      <c r="G13" s="21"/>
    </row>
    <row r="14" spans="1:7" x14ac:dyDescent="0.25">
      <c r="A14" s="21"/>
      <c r="B14" s="21"/>
      <c r="C14" s="21"/>
      <c r="D14" s="21"/>
      <c r="E14" s="21"/>
      <c r="F14" s="21"/>
      <c r="G14" s="21"/>
    </row>
    <row r="15" spans="1:7" x14ac:dyDescent="0.25">
      <c r="A15" s="21"/>
      <c r="B15" s="21"/>
      <c r="C15" s="21"/>
      <c r="D15" s="21"/>
      <c r="E15" s="21"/>
      <c r="F15" s="21"/>
      <c r="G15" s="21"/>
    </row>
    <row r="16" spans="1:7" x14ac:dyDescent="0.25">
      <c r="A16" s="21"/>
      <c r="B16" s="68" t="s">
        <v>92</v>
      </c>
      <c r="C16" s="68"/>
      <c r="D16" s="68"/>
      <c r="E16" s="68"/>
      <c r="F16" s="68"/>
      <c r="G16" s="21"/>
    </row>
    <row r="17" spans="1:7" x14ac:dyDescent="0.25">
      <c r="A17" s="21"/>
      <c r="B17" s="35" t="s">
        <v>2</v>
      </c>
      <c r="C17" s="35" t="s">
        <v>30</v>
      </c>
      <c r="D17" s="35" t="s">
        <v>42</v>
      </c>
      <c r="E17" s="35" t="s">
        <v>31</v>
      </c>
      <c r="F17" s="35" t="s">
        <v>39</v>
      </c>
      <c r="G17" s="21"/>
    </row>
    <row r="18" spans="1:7" x14ac:dyDescent="0.25">
      <c r="A18" s="21"/>
      <c r="B18" s="33">
        <v>5</v>
      </c>
      <c r="C18" s="33" t="s">
        <v>106</v>
      </c>
      <c r="D18" s="33" t="s">
        <v>3</v>
      </c>
      <c r="E18" s="41">
        <v>100</v>
      </c>
      <c r="F18" s="33" t="s">
        <v>105</v>
      </c>
      <c r="G18" s="21"/>
    </row>
    <row r="19" spans="1:7" x14ac:dyDescent="0.25">
      <c r="A19" s="21"/>
      <c r="B19" s="21"/>
      <c r="C19" s="21"/>
      <c r="D19" s="21"/>
      <c r="E19" s="21"/>
      <c r="F19" s="21"/>
      <c r="G19" s="21"/>
    </row>
    <row r="20" spans="1:7" x14ac:dyDescent="0.25">
      <c r="A20" s="21"/>
      <c r="B20" s="21"/>
      <c r="C20" s="21"/>
      <c r="D20" s="21"/>
      <c r="E20" s="21"/>
      <c r="F20" s="21"/>
      <c r="G20" s="21"/>
    </row>
    <row r="21" spans="1:7" x14ac:dyDescent="0.25">
      <c r="A21" s="21"/>
      <c r="B21" s="21"/>
      <c r="C21" s="21"/>
      <c r="D21" s="21"/>
      <c r="E21" s="21"/>
      <c r="F21" s="21"/>
      <c r="G21" s="21"/>
    </row>
    <row r="22" spans="1:7" x14ac:dyDescent="0.25">
      <c r="A22" s="21"/>
      <c r="B22" s="21"/>
      <c r="C22" s="21"/>
      <c r="D22" s="21"/>
      <c r="E22" s="21"/>
      <c r="F22" s="21"/>
      <c r="G22" s="21"/>
    </row>
    <row r="23" spans="1:7" x14ac:dyDescent="0.25">
      <c r="A23" s="21"/>
      <c r="B23" s="21"/>
      <c r="C23" s="21"/>
      <c r="D23" s="21"/>
      <c r="E23" s="21"/>
      <c r="F23" s="21"/>
      <c r="G23" s="21"/>
    </row>
    <row r="24" spans="1:7" x14ac:dyDescent="0.25">
      <c r="A24" s="21"/>
      <c r="B24" s="21"/>
      <c r="C24" s="21"/>
      <c r="D24" s="21"/>
      <c r="E24" s="21"/>
      <c r="F24" s="21"/>
      <c r="G24" s="21"/>
    </row>
    <row r="25" spans="1:7" x14ac:dyDescent="0.25">
      <c r="A25" s="21"/>
      <c r="B25" s="21"/>
      <c r="C25" s="21"/>
      <c r="D25" s="21"/>
      <c r="E25" s="21"/>
      <c r="F25" s="21"/>
      <c r="G25" s="21"/>
    </row>
    <row r="26" spans="1:7" x14ac:dyDescent="0.25">
      <c r="A26" s="21"/>
      <c r="B26" s="21"/>
      <c r="C26" s="21"/>
      <c r="D26" s="21"/>
      <c r="E26" s="21"/>
      <c r="F26" s="21"/>
      <c r="G26" s="21"/>
    </row>
    <row r="27" spans="1:7" x14ac:dyDescent="0.25">
      <c r="A27" s="21"/>
      <c r="B27" s="21"/>
      <c r="C27" s="21"/>
      <c r="D27" s="21"/>
      <c r="E27" s="21"/>
      <c r="F27" s="21"/>
      <c r="G27" s="21"/>
    </row>
    <row r="28" spans="1:7" x14ac:dyDescent="0.25">
      <c r="A28" s="21"/>
      <c r="B28" s="21"/>
      <c r="C28" s="21"/>
      <c r="D28" s="21"/>
      <c r="E28" s="21"/>
      <c r="F28" s="21"/>
      <c r="G28" s="21"/>
    </row>
    <row r="29" spans="1:7" ht="21.75" thickBot="1" x14ac:dyDescent="0.4">
      <c r="A29" s="21"/>
      <c r="B29" s="21"/>
      <c r="C29" s="67" t="s">
        <v>78</v>
      </c>
      <c r="D29" s="67"/>
      <c r="E29" s="21"/>
      <c r="F29" s="21"/>
      <c r="G29" s="21"/>
    </row>
    <row r="30" spans="1:7" ht="15.75" thickTop="1" x14ac:dyDescent="0.25">
      <c r="A30" s="21"/>
      <c r="B30" s="21"/>
      <c r="C30" s="21"/>
      <c r="D30" s="21"/>
      <c r="E30" s="21"/>
      <c r="F30" s="21"/>
      <c r="G30" s="21"/>
    </row>
    <row r="31" spans="1:7" x14ac:dyDescent="0.25">
      <c r="A31" s="21"/>
      <c r="B31" s="21"/>
      <c r="C31" s="21"/>
      <c r="D31" s="21"/>
      <c r="E31" s="21"/>
      <c r="G31" s="21"/>
    </row>
    <row r="32" spans="1:7" x14ac:dyDescent="0.25">
      <c r="A32" s="21"/>
      <c r="B32" s="21"/>
      <c r="C32" s="21"/>
      <c r="D32" s="21"/>
      <c r="E32" s="21"/>
      <c r="F32" s="21"/>
      <c r="G32" s="21"/>
    </row>
    <row r="33" spans="1:7" x14ac:dyDescent="0.25">
      <c r="A33" s="36"/>
      <c r="B33" s="37"/>
      <c r="C33" s="37"/>
      <c r="D33" s="37"/>
      <c r="E33" s="37"/>
      <c r="F33" s="37"/>
      <c r="G33" s="37"/>
    </row>
  </sheetData>
  <mergeCells count="6">
    <mergeCell ref="C4:D4"/>
    <mergeCell ref="C5:D5"/>
    <mergeCell ref="C6:D6"/>
    <mergeCell ref="C7:D7"/>
    <mergeCell ref="C29:D29"/>
    <mergeCell ref="B16:F16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880BB-0B67-4899-BCB4-301638EDB4AF}">
  <sheetPr codeName="Hoja3">
    <tabColor theme="5" tint="0.59999389629810485"/>
    <pageSetUpPr fitToPage="1"/>
  </sheetPr>
  <dimension ref="A6:K36"/>
  <sheetViews>
    <sheetView zoomScale="85" zoomScaleNormal="85" workbookViewId="0">
      <selection activeCell="J17" sqref="J17"/>
    </sheetView>
  </sheetViews>
  <sheetFormatPr baseColWidth="10" defaultRowHeight="15" x14ac:dyDescent="0.25"/>
  <cols>
    <col min="1" max="1" width="8.42578125" style="21" bestFit="1" customWidth="1"/>
    <col min="2" max="2" width="15" style="21" bestFit="1" customWidth="1"/>
    <col min="3" max="3" width="9.5703125" style="21" bestFit="1" customWidth="1"/>
    <col min="4" max="4" width="10.28515625" style="21" bestFit="1" customWidth="1"/>
    <col min="5" max="5" width="28" style="21" bestFit="1" customWidth="1"/>
    <col min="6" max="6" width="12.28515625" style="21" bestFit="1" customWidth="1"/>
    <col min="7" max="7" width="11.28515625" style="21" bestFit="1" customWidth="1"/>
    <col min="8" max="8" width="15.5703125" style="21" bestFit="1" customWidth="1"/>
    <col min="9" max="9" width="11.28515625" style="21" bestFit="1" customWidth="1"/>
    <col min="10" max="10" width="13.5703125" style="21" bestFit="1" customWidth="1"/>
    <col min="11" max="11" width="3.140625" style="48" customWidth="1"/>
    <col min="12" max="16384" width="11.42578125" style="21"/>
  </cols>
  <sheetData>
    <row r="6" spans="1:9" x14ac:dyDescent="0.25">
      <c r="E6" s="44" t="s">
        <v>82</v>
      </c>
      <c r="F6" s="33">
        <f ca="1">+MONTH(TODAY())</f>
        <v>10</v>
      </c>
      <c r="G6" s="44" t="s">
        <v>83</v>
      </c>
      <c r="H6" s="45">
        <f ca="1">+SUMIF(Tabla7[MES],F6,Tabla7[VALOR])</f>
        <v>5</v>
      </c>
    </row>
    <row r="8" spans="1:9" x14ac:dyDescent="0.25">
      <c r="A8" s="69" t="s">
        <v>81</v>
      </c>
      <c r="B8" s="69"/>
      <c r="C8" s="69"/>
      <c r="D8" s="69"/>
      <c r="E8" s="69"/>
      <c r="F8" s="69"/>
      <c r="G8" s="69"/>
      <c r="H8" s="69"/>
      <c r="I8" s="69"/>
    </row>
    <row r="9" spans="1:9" x14ac:dyDescent="0.25">
      <c r="A9" s="14" t="s">
        <v>2</v>
      </c>
      <c r="B9" s="14" t="s">
        <v>30</v>
      </c>
      <c r="C9" s="14" t="s">
        <v>38</v>
      </c>
      <c r="D9" s="14" t="s">
        <v>26</v>
      </c>
      <c r="E9" s="14" t="s">
        <v>29</v>
      </c>
      <c r="F9" s="14" t="s">
        <v>31</v>
      </c>
      <c r="G9" s="14" t="s">
        <v>37</v>
      </c>
      <c r="H9" s="14" t="s">
        <v>39</v>
      </c>
      <c r="I9" s="14" t="s">
        <v>80</v>
      </c>
    </row>
    <row r="10" spans="1:9" x14ac:dyDescent="0.25">
      <c r="A10" s="42">
        <v>7</v>
      </c>
      <c r="B10" s="43">
        <v>45573.772280092591</v>
      </c>
      <c r="C10" s="42">
        <v>8</v>
      </c>
      <c r="D10" s="42">
        <v>10</v>
      </c>
      <c r="E10" s="42" t="s">
        <v>5</v>
      </c>
      <c r="F10" s="42">
        <v>5</v>
      </c>
      <c r="G10" s="42">
        <v>1</v>
      </c>
      <c r="H10" s="42" t="s">
        <v>57</v>
      </c>
      <c r="I10" s="42">
        <v>1073697673</v>
      </c>
    </row>
    <row r="34" spans="1:10" x14ac:dyDescent="0.25">
      <c r="E34" s="46"/>
      <c r="F34" s="47"/>
    </row>
    <row r="36" spans="1:10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</row>
  </sheetData>
  <mergeCells count="1">
    <mergeCell ref="A8:I8"/>
  </mergeCells>
  <printOptions gridLines="1"/>
  <pageMargins left="0.7" right="0.7" top="0.75" bottom="0.75" header="0.3" footer="0.3"/>
  <pageSetup scale="88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Personal</vt:lpstr>
      <vt:lpstr>Registro_Pagos</vt:lpstr>
      <vt:lpstr>Vacaciones</vt:lpstr>
      <vt:lpstr>Documentos</vt:lpstr>
      <vt:lpstr>Desprendibles</vt:lpstr>
      <vt:lpstr>Parcial</vt:lpstr>
      <vt:lpstr>Reportes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Pulido</dc:creator>
  <cp:lastModifiedBy>Atention al cliente Encounters VIP</cp:lastModifiedBy>
  <cp:lastPrinted>2024-10-09T07:43:01Z</cp:lastPrinted>
  <dcterms:created xsi:type="dcterms:W3CDTF">2024-09-14T14:33:07Z</dcterms:created>
  <dcterms:modified xsi:type="dcterms:W3CDTF">2024-10-09T08:02:48Z</dcterms:modified>
</cp:coreProperties>
</file>